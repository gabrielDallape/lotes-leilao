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Deicmar L89" sheetId="2" state="visible" r:id="rId2"/>
    <sheet xmlns:r="http://schemas.openxmlformats.org/officeDocument/2006/relationships" name="Deicmar L91" sheetId="3" state="visible" r:id="rId3"/>
    <sheet xmlns:r="http://schemas.openxmlformats.org/officeDocument/2006/relationships" name="Embraport L124" sheetId="4" state="visible" r:id="rId4"/>
    <sheet xmlns:r="http://schemas.openxmlformats.org/officeDocument/2006/relationships" name="Eudmarco L95" sheetId="5" state="visible" r:id="rId5"/>
    <sheet xmlns:r="http://schemas.openxmlformats.org/officeDocument/2006/relationships" name="Eudmarco L97" sheetId="6" state="visible" r:id="rId6"/>
    <sheet xmlns:r="http://schemas.openxmlformats.org/officeDocument/2006/relationships" name="Eudmarco L98" sheetId="7" state="visible" r:id="rId7"/>
    <sheet xmlns:r="http://schemas.openxmlformats.org/officeDocument/2006/relationships" name="Eudmarco L102" sheetId="8" state="visible" r:id="rId8"/>
    <sheet xmlns:r="http://schemas.openxmlformats.org/officeDocument/2006/relationships" name="Floripa L116" sheetId="9" state="visible" r:id="rId9"/>
    <sheet xmlns:r="http://schemas.openxmlformats.org/officeDocument/2006/relationships" name="Floripa L117" sheetId="10" state="visible" r:id="rId10"/>
    <sheet xmlns:r="http://schemas.openxmlformats.org/officeDocument/2006/relationships" name="Floripa L118" sheetId="11" state="visible" r:id="rId11"/>
    <sheet xmlns:r="http://schemas.openxmlformats.org/officeDocument/2006/relationships" name="Floripa L119" sheetId="12" state="visible" r:id="rId12"/>
    <sheet xmlns:r="http://schemas.openxmlformats.org/officeDocument/2006/relationships" name="Floripa L120" sheetId="13" state="visible" r:id="rId13"/>
    <sheet xmlns:r="http://schemas.openxmlformats.org/officeDocument/2006/relationships" name="Floripa L121" sheetId="14" state="visible" r:id="rId14"/>
    <sheet xmlns:r="http://schemas.openxmlformats.org/officeDocument/2006/relationships" name="Floripa L122" sheetId="15" state="visible" r:id="rId15"/>
    <sheet xmlns:r="http://schemas.openxmlformats.org/officeDocument/2006/relationships" name="Foz L152" sheetId="16" state="visible" r:id="rId16"/>
    <sheet xmlns:r="http://schemas.openxmlformats.org/officeDocument/2006/relationships" name="Foz L154" sheetId="17" state="visible" r:id="rId17"/>
    <sheet xmlns:r="http://schemas.openxmlformats.org/officeDocument/2006/relationships" name="Foz L155" sheetId="18" state="visible" r:id="rId18"/>
    <sheet xmlns:r="http://schemas.openxmlformats.org/officeDocument/2006/relationships" name="Guarulhos L14" sheetId="19" state="visible" r:id="rId19"/>
    <sheet xmlns:r="http://schemas.openxmlformats.org/officeDocument/2006/relationships" name="Guarulhos L23" sheetId="20" state="visible" r:id="rId20"/>
    <sheet xmlns:r="http://schemas.openxmlformats.org/officeDocument/2006/relationships" name="Guarulhos L24" sheetId="21" state="visible" r:id="rId21"/>
    <sheet xmlns:r="http://schemas.openxmlformats.org/officeDocument/2006/relationships" name="Guarulhos L29" sheetId="22" state="visible" r:id="rId22"/>
    <sheet xmlns:r="http://schemas.openxmlformats.org/officeDocument/2006/relationships" name="Guarulhos L33" sheetId="23" state="visible" r:id="rId23"/>
    <sheet xmlns:r="http://schemas.openxmlformats.org/officeDocument/2006/relationships" name="Guarulhos L34" sheetId="24" state="visible" r:id="rId24"/>
    <sheet xmlns:r="http://schemas.openxmlformats.org/officeDocument/2006/relationships" name="Guarulhos L35" sheetId="25" state="visible" r:id="rId25"/>
    <sheet xmlns:r="http://schemas.openxmlformats.org/officeDocument/2006/relationships" name="Guarulhos L45" sheetId="26" state="visible" r:id="rId26"/>
    <sheet xmlns:r="http://schemas.openxmlformats.org/officeDocument/2006/relationships" name="Guarulhos L46" sheetId="27" state="visible" r:id="rId27"/>
    <sheet xmlns:r="http://schemas.openxmlformats.org/officeDocument/2006/relationships" name="Guarulhos L47" sheetId="28" state="visible" r:id="rId28"/>
    <sheet xmlns:r="http://schemas.openxmlformats.org/officeDocument/2006/relationships" name="Guarulhos L50" sheetId="29" state="visible" r:id="rId29"/>
    <sheet xmlns:r="http://schemas.openxmlformats.org/officeDocument/2006/relationships" name="Guarulhos L51" sheetId="30" state="visible" r:id="rId30"/>
    <sheet xmlns:r="http://schemas.openxmlformats.org/officeDocument/2006/relationships" name="Guarulhos L55" sheetId="31" state="visible" r:id="rId31"/>
    <sheet xmlns:r="http://schemas.openxmlformats.org/officeDocument/2006/relationships" name="Guarulhos L58" sheetId="32" state="visible" r:id="rId32"/>
    <sheet xmlns:r="http://schemas.openxmlformats.org/officeDocument/2006/relationships" name="Guarulhos L59" sheetId="33" state="visible" r:id="rId33"/>
    <sheet xmlns:r="http://schemas.openxmlformats.org/officeDocument/2006/relationships" name="Guarulhos L67" sheetId="34" state="visible" r:id="rId34"/>
    <sheet xmlns:r="http://schemas.openxmlformats.org/officeDocument/2006/relationships" name="Londrina L3" sheetId="35" state="visible" r:id="rId35"/>
    <sheet xmlns:r="http://schemas.openxmlformats.org/officeDocument/2006/relationships" name="Londrina L4" sheetId="36" state="visible" r:id="rId36"/>
    <sheet xmlns:r="http://schemas.openxmlformats.org/officeDocument/2006/relationships" name="Movecta L77" sheetId="37" state="visible" r:id="rId37"/>
    <sheet xmlns:r="http://schemas.openxmlformats.org/officeDocument/2006/relationships" name="Santos L106" sheetId="38" state="visible" r:id="rId38"/>
    <sheet xmlns:r="http://schemas.openxmlformats.org/officeDocument/2006/relationships" name="Santos L108" sheetId="39" state="visible" r:id="rId39"/>
    <sheet xmlns:r="http://schemas.openxmlformats.org/officeDocument/2006/relationships" name="Santos L114" sheetId="40" state="visible" r:id="rId40"/>
    <sheet xmlns:r="http://schemas.openxmlformats.org/officeDocument/2006/relationships" name="Viracopos L8" sheetId="41" state="visible" r:id="rId41"/>
    <sheet xmlns:r="http://schemas.openxmlformats.org/officeDocument/2006/relationships" name="Viracopos L169" sheetId="42" state="visible" r:id="rId42"/>
    <sheet xmlns:r="http://schemas.openxmlformats.org/officeDocument/2006/relationships" name="Viracopos L171" sheetId="43" state="visible" r:id="rId43"/>
    <sheet xmlns:r="http://schemas.openxmlformats.org/officeDocument/2006/relationships" name="Viracopos L173" sheetId="44" state="visible" r:id="rId44"/>
    <sheet xmlns:r="http://schemas.openxmlformats.org/officeDocument/2006/relationships" name="Viracopos L174" sheetId="45" state="visible" r:id="rId45"/>
    <sheet xmlns:r="http://schemas.openxmlformats.org/officeDocument/2006/relationships" name="Viracopos L176" sheetId="46" state="visible" r:id="rId46"/>
    <sheet xmlns:r="http://schemas.openxmlformats.org/officeDocument/2006/relationships" name="Viracopos L178" sheetId="47" state="visible" r:id="rId47"/>
    <sheet xmlns:r="http://schemas.openxmlformats.org/officeDocument/2006/relationships" name="Viracopos L179" sheetId="48" state="visible" r:id="rId48"/>
    <sheet xmlns:r="http://schemas.openxmlformats.org/officeDocument/2006/relationships" name="Viracopos L189" sheetId="49" state="visible" r:id="rId49"/>
    <sheet xmlns:r="http://schemas.openxmlformats.org/officeDocument/2006/relationships" name="Viracopos L196" sheetId="50" state="visible" r:id="rId50"/>
    <sheet xmlns:r="http://schemas.openxmlformats.org/officeDocument/2006/relationships" name="Viracopos L203" sheetId="51" state="visible" r:id="rId51"/>
    <sheet xmlns:r="http://schemas.openxmlformats.org/officeDocument/2006/relationships" name="Viracopos L209" sheetId="52" state="visible" r:id="rId52"/>
    <sheet xmlns:r="http://schemas.openxmlformats.org/officeDocument/2006/relationships" name="Viracopos L21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R$ #,##0.00"/>
  </numFmts>
  <fonts count="15">
    <font>
      <name val="Calibri"/>
      <family val="2"/>
      <color theme="1"/>
      <sz val="11"/>
      <scheme val="minor"/>
    </font>
    <font>
      <b val="1"/>
      <color rgb="001C2024"/>
      <sz val="15"/>
    </font>
    <font>
      <color rgb="005A6168"/>
      <sz val="10"/>
    </font>
    <font>
      <b val="1"/>
      <color rgb="005A6168"/>
      <sz val="10"/>
    </font>
    <font>
      <b val="1"/>
      <color rgb="001C2024"/>
      <sz val="12"/>
    </font>
    <font>
      <b val="1"/>
      <color rgb="0013726B"/>
      <sz val="12"/>
    </font>
    <font>
      <b val="1"/>
      <color rgb="0015806B"/>
      <sz val="12"/>
    </font>
    <font>
      <b val="1"/>
      <color rgb="00B7820F"/>
      <sz val="12"/>
    </font>
    <font>
      <b val="1"/>
      <color rgb="00FFFFFF"/>
      <sz val="10"/>
    </font>
    <font>
      <sz val="10"/>
    </font>
    <font>
      <color rgb="001155CC"/>
      <sz val="10"/>
      <u val="single"/>
    </font>
    <font>
      <b val="1"/>
      <color rgb="0013726B"/>
      <sz val="11"/>
    </font>
    <font>
      <b val="1"/>
      <sz val="10"/>
    </font>
    <font>
      <b val="1"/>
      <color rgb="001C2024"/>
      <sz val="1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C2024"/>
      </patternFill>
    </fill>
    <fill>
      <patternFill patternType="solid">
        <fgColor rgb="00F8D2CE"/>
      </patternFill>
    </fill>
    <fill>
      <patternFill patternType="solid">
        <fgColor rgb="00FAFBFA"/>
      </patternFill>
    </fill>
    <fill>
      <patternFill patternType="solid">
        <fgColor rgb="0013726B"/>
      </patternFill>
    </fill>
    <fill>
      <patternFill patternType="solid">
        <fgColor rgb="008A9089"/>
      </patternFill>
    </fill>
    <fill>
      <patternFill patternType="solid">
        <fgColor rgb="0015806B"/>
      </patternFill>
    </fill>
    <fill>
      <patternFill patternType="solid">
        <fgColor rgb="00B7820F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>
        <color rgb="00C9CDC7"/>
      </left>
      <right style="thin">
        <color rgb="00C9CDC7"/>
      </right>
      <top style="thin">
        <color rgb="00C9CDC7"/>
      </top>
      <bottom style="thin">
        <color rgb="00C9CDC7"/>
      </bottom>
    </border>
    <border>
      <left/>
      <right/>
      <top style="thin">
        <color rgb="00C9CDC7"/>
      </top>
      <bottom/>
      <diagonal/>
    </border>
    <border>
      <left/>
      <right style="thin">
        <color rgb="00C9CDC7"/>
      </right>
      <top style="thin">
        <color rgb="00C9CDC7"/>
      </top>
      <bottom/>
      <diagonal/>
    </border>
    <border>
      <left/>
      <right/>
      <top style="thin">
        <color rgb="00C9CDC7"/>
      </top>
      <bottom style="thin">
        <color rgb="00C9CDC7"/>
      </bottom>
      <diagonal/>
    </border>
    <border>
      <left/>
      <right style="thin">
        <color rgb="00C9CDC7"/>
      </right>
      <top style="thin">
        <color rgb="00C9CDC7"/>
      </top>
      <bottom style="thin">
        <color rgb="00C9CDC7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1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right" vertical="top"/>
    </xf>
    <xf numFmtId="0" fontId="10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0" fillId="0" borderId="1" pivotButton="0" quotePrefix="0" xfId="0"/>
    <xf numFmtId="164" fontId="11" fillId="0" borderId="1" pivotButton="0" quotePrefix="0" xfId="0"/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left" vertical="top" wrapText="1"/>
    </xf>
    <xf numFmtId="165" fontId="9" fillId="0" borderId="1" applyAlignment="1" pivotButton="0" quotePrefix="0" xfId="0">
      <alignment horizontal="right" vertical="top"/>
    </xf>
    <xf numFmtId="0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left" vertical="top" wrapText="1"/>
    </xf>
    <xf numFmtId="165" fontId="9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ista.mercadolivre.com.br/maq-serigrafia-acompanha-chave-hexagonal-bola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lista.mercadolivre.com.br/feeder-alimentador-smt-producao-eletronica" TargetMode="External" Id="rId1"/><Relationship Type="http://schemas.openxmlformats.org/officeDocument/2006/relationships/hyperlink" Target="https://lista.mercadolivre.com.br/echo-dot-amazon-usado" TargetMode="External" Id="rId2"/><Relationship Type="http://schemas.openxmlformats.org/officeDocument/2006/relationships/hyperlink" Target="https://lista.mercadolivre.com.br/irobot-roomba-670-usado" TargetMode="External" Id="rId3"/><Relationship Type="http://schemas.openxmlformats.org/officeDocument/2006/relationships/hyperlink" Target="https://lista.mercadolivre.com.br/irobot-roomba-675-usado" TargetMode="External" Id="rId4"/><Relationship Type="http://schemas.openxmlformats.org/officeDocument/2006/relationships/hyperlink" Target="https://lista.mercadolivre.com.br/echo-dot-amazon-usado" TargetMode="External" Id="rId5"/><Relationship Type="http://schemas.openxmlformats.org/officeDocument/2006/relationships/hyperlink" Target="https://lista.mercadolivre.com.br/impressora-fujifilm-instax-mini-link" TargetMode="External" Id="rId6"/><Relationship Type="http://schemas.openxmlformats.org/officeDocument/2006/relationships/hyperlink" Target="https://lista.mercadolivre.com.br/lupa-led-bancada-zs-86a" TargetMode="External" Id="rId7"/><Relationship Type="http://schemas.openxmlformats.org/officeDocument/2006/relationships/hyperlink" Target="https://lista.mercadolivre.com.br/teclado-mouse-logitech-mk550" TargetMode="External" Id="rId8"/><Relationship Type="http://schemas.openxmlformats.org/officeDocument/2006/relationships/hyperlink" Target="https://lista.mercadolivre.com.br/cooler-ventilador-cpu-thermaltake-massiva-20" TargetMode="External" Id="rId9"/><Relationship Type="http://schemas.openxmlformats.org/officeDocument/2006/relationships/hyperlink" Target="https://lista.mercadolivre.com.br/suporte-monitor-hemudu-ht-05b-002" TargetMode="External" Id="rId10"/><Relationship Type="http://schemas.openxmlformats.org/officeDocument/2006/relationships/hyperlink" Target="https://lista.mercadolivre.com.br/microscopio-digital-features-resolucao-imagem-1080p" TargetMode="External" Id="rId11"/><Relationship Type="http://schemas.openxmlformats.org/officeDocument/2006/relationships/hyperlink" Target="https://lista.mercadolivre.com.br/assistente-virtual-h2c-nest-mini-google" TargetMode="External" Id="rId12"/><Relationship Type="http://schemas.openxmlformats.org/officeDocument/2006/relationships/hyperlink" Target="https://lista.mercadolivre.com.br/microfone-fio-perwhy-kit-duas-unidades" TargetMode="External" Id="rId13"/><Relationship Type="http://schemas.openxmlformats.org/officeDocument/2006/relationships/hyperlink" Target="https://lista.mercadolivre.com.br/hub-usb-cable-vangree-van-07" TargetMode="External" Id="rId14"/><Relationship Type="http://schemas.openxmlformats.org/officeDocument/2006/relationships/hyperlink" Target="https://lista.mercadolivre.com.br/teclado-computador-x0042ues67" TargetMode="External" Id="rId15"/><Relationship Type="http://schemas.openxmlformats.org/officeDocument/2006/relationships/hyperlink" Target="https://lista.mercadolivre.com.br/cabo-auxiliar-tipo-p2-x0045bpe9x" TargetMode="External" Id="rId16"/><Relationship Type="http://schemas.openxmlformats.org/officeDocument/2006/relationships/hyperlink" Target="https://lista.mercadolivre.com.br/capa-silicone-teclado-logitech-k270" TargetMode="External" Id="rId17"/><Relationship Type="http://schemas.openxmlformats.org/officeDocument/2006/relationships/hyperlink" Target="https://lista.mercadolivre.com.br/capa-silicone-celular-eloga-iphone-14" TargetMode="External" Id="rId18"/><Relationship Type="http://schemas.openxmlformats.org/officeDocument/2006/relationships/hyperlink" Target="https://lista.mercadolivre.com.br/protetor-fone-link-dream-x0020j1351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lista.mercadolivre.com.br/jogo-soquetes-1-2-8-a-32mm-20-pecas" TargetMode="External" Id="rId1"/><Relationship Type="http://schemas.openxmlformats.org/officeDocument/2006/relationships/hyperlink" Target="https://lista.mercadolivre.com.br/abafador-ruido-protetor-auricular" TargetMode="External" Id="rId2"/><Relationship Type="http://schemas.openxmlformats.org/officeDocument/2006/relationships/hyperlink" Target="https://lista.mercadolivre.com.br/kit-ferramentas" TargetMode="External" Id="rId3"/><Relationship Type="http://schemas.openxmlformats.org/officeDocument/2006/relationships/hyperlink" Target="https://lista.mercadolivre.com.br/furadeira-eletrica-powers" TargetMode="External" Id="rId4"/><Relationship Type="http://schemas.openxmlformats.org/officeDocument/2006/relationships/hyperlink" Target="https://lista.mercadolivre.com.br/trena-profissinal-fita-metrica-fluorescente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rcadolivre.com.br/ecoflow-delta-pro-estaco-de-energia-portatil-gerador-solar-3600w-capacidade-3600wh-tomada-us-110v/p/MLB27733552" TargetMode="External" Id="rId1"/><Relationship Type="http://schemas.openxmlformats.org/officeDocument/2006/relationships/hyperlink" Target="https://produto.mercadolivre.com.br/MLB-1301452883-amplificador-fender-twin-reverb-65-220-v-promoco-_JM" TargetMode="External" Id="rId2"/><Relationship Type="http://schemas.openxmlformats.org/officeDocument/2006/relationships/hyperlink" Target="https://produto.mercadolivre.com.br/MLB-3532878986-macbook-pro-a1990-154-i7-16gb-256gb-ssd-amd-pro-560x-_JM" TargetMode="External" Id="rId3"/><Relationship Type="http://schemas.openxmlformats.org/officeDocument/2006/relationships/hyperlink" Target="https://lista.mercadolivre.com.br/digidesign-stage-rack-sri" TargetMode="External" Id="rId4"/><Relationship Type="http://schemas.openxmlformats.org/officeDocument/2006/relationships/hyperlink" Target="https://lista.mercadolivre.com.br/fonte-alimentacao-yamaha-pw800" TargetMode="External" Id="rId5"/><Relationship Type="http://schemas.openxmlformats.org/officeDocument/2006/relationships/hyperlink" Target="https://lista.mercadolivre.com.br/macbook-air-13-a2337-m1-8gb-256gb-usado" TargetMode="External" Id="rId6"/><Relationship Type="http://schemas.openxmlformats.org/officeDocument/2006/relationships/hyperlink" Target="https://lista.mercadolivre.com.br/ecoflow-estacao-energia-portatil" TargetMode="External" Id="rId7"/><Relationship Type="http://schemas.openxmlformats.org/officeDocument/2006/relationships/hyperlink" Target="https://lista.mercadolivre.com.br/rack-palco-mixer-01-rev-digidesign" TargetMode="External" Id="rId8"/><Relationship Type="http://schemas.openxmlformats.org/officeDocument/2006/relationships/hyperlink" Target="https://lista.mercadolivre.com.br/estacao-bateria-portatil-efg200-ecoflow" TargetMode="External" Id="rId9"/><Relationship Type="http://schemas.openxmlformats.org/officeDocument/2006/relationships/hyperlink" Target="https://lista.mercadolivre.com.br/condicionador-energia-pl-8c-furman" TargetMode="External" Id="rId10"/><Relationship Type="http://schemas.openxmlformats.org/officeDocument/2006/relationships/hyperlink" Target="https://lista.mercadolivre.com.br/placa-fonte-alimentacao-impressora-06-20" TargetMode="External" Id="rId11"/><Relationship Type="http://schemas.openxmlformats.org/officeDocument/2006/relationships/hyperlink" Target="https://lista.mercadolivre.com.br/controlador-personal-rack-audio-digidesign" TargetMode="External" Id="rId12"/><Relationship Type="http://schemas.openxmlformats.org/officeDocument/2006/relationships/hyperlink" Target="https://lista.mercadolivre.com.br/mini-pc-wi-16gb-ram-512" TargetMode="External" Id="rId13"/><Relationship Type="http://schemas.openxmlformats.org/officeDocument/2006/relationships/hyperlink" Target="https://lista.mercadolivre.com.br/placa-fonte-alimentacao-impressora-20-30" TargetMode="External" Id="rId14"/><Relationship Type="http://schemas.openxmlformats.org/officeDocument/2006/relationships/hyperlink" Target="https://lista.mercadolivre.com.br/fonte-alimentacao-dgn-z26h-skynet-eletronic" TargetMode="External" Id="rId15"/><Relationship Type="http://schemas.openxmlformats.org/officeDocument/2006/relationships/hyperlink" Target="https://lista.mercadolivre.com.br/jabberin-jack-alto-falante-formato-abobora" TargetMode="External" Id="rId16"/><Relationship Type="http://schemas.openxmlformats.org/officeDocument/2006/relationships/hyperlink" Target="https://lista.mercadolivre.com.br/assistente-virtual-c2n6l4-echo-dot" TargetMode="External" Id="rId17"/><Relationship Type="http://schemas.openxmlformats.org/officeDocument/2006/relationships/hyperlink" Target="https://lista.mercadolivre.com.br/projetor-virtual-halloween-huntington-home" TargetMode="External" Id="rId18"/><Relationship Type="http://schemas.openxmlformats.org/officeDocument/2006/relationships/hyperlink" Target="https://lista.mercadolivre.com.br/terminal-crimpagem-pacote-20-100-156" TargetMode="External" Id="rId19"/><Relationship Type="http://schemas.openxmlformats.org/officeDocument/2006/relationships/hyperlink" Target="https://lista.mercadolivre.com.br/componentes-impressora-diversos-tipos" TargetMode="External" Id="rId20"/><Relationship Type="http://schemas.openxmlformats.org/officeDocument/2006/relationships/hyperlink" Target="https://lista.mercadolivre.com.br/cabos-diversos" TargetMode="External" Id="rId21"/><Relationship Type="http://schemas.openxmlformats.org/officeDocument/2006/relationships/hyperlink" Target="https://lista.mercadolivre.com.br/semicondutor-modelos-diversos-marcas-allegro-microsystems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lista.mercadolivre.com.br/prancha-jet-surf-motorizada" TargetMode="External" Id="rId1"/><Relationship Type="http://schemas.openxmlformats.org/officeDocument/2006/relationships/hyperlink" Target="https://lista.mercadolivre.com.br/luva-boxe-twins-top-king-muay-thai" TargetMode="External" Id="rId2"/><Relationship Type="http://schemas.openxmlformats.org/officeDocument/2006/relationships/hyperlink" Target="https://lista.mercadolivre.com.br/short-muay-thai-twins-top-king-fairtex" TargetMode="External" Id="rId3"/><Relationship Type="http://schemas.openxmlformats.org/officeDocument/2006/relationships/hyperlink" Target="https://lista.mercadolivre.com.br/bicicleta-mono-ii-tokyobike" TargetMode="External" Id="rId4"/><Relationship Type="http://schemas.openxmlformats.org/officeDocument/2006/relationships/hyperlink" Target="https://lista.mercadolivre.com.br/caneleira-muay-thai-marcas-topkings-twins" TargetMode="External" Id="rId5"/><Relationship Type="http://schemas.openxmlformats.org/officeDocument/2006/relationships/hyperlink" Target="https://lista.mercadolivre.com.br/aparador-chute-marcas-topking-infight-style" TargetMode="External" Id="rId6"/><Relationship Type="http://schemas.openxmlformats.org/officeDocument/2006/relationships/hyperlink" Target="https://lista.mercadolivre.com.br/bicicleta-fm-fo-nso1-spvt01" TargetMode="External" Id="rId7"/><Relationship Type="http://schemas.openxmlformats.org/officeDocument/2006/relationships/hyperlink" Target="https://lista.mercadolivre.com.br/cinto-protetor-abdominal-marcas-king-pro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mercadolivre.com.br/dji-dock-2/p/MLB44417834" TargetMode="External" Id="rId1"/><Relationship Type="http://schemas.openxmlformats.org/officeDocument/2006/relationships/hyperlink" Target="https://www.mercadolivre.com.br/bateria-dji-tb65-para-matrice-350-rtk-e-matrice-300-rtk/p/MLB35627810" TargetMode="External" Id="rId2"/><Relationship Type="http://schemas.openxmlformats.org/officeDocument/2006/relationships/hyperlink" Target="https://www.mercadolivre.com.br/bateria-dji-voo-inteligente-para-drone-dji-mavic-3-cor-preto/p/MLB29421475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lista.mercadolivre.com.br/modulo-laser-industrial-z-laser" TargetMode="External" Id="rId1"/><Relationship Type="http://schemas.openxmlformats.org/officeDocument/2006/relationships/hyperlink" Target="https://lista.mercadolivre.com.br/capa-cobertura-som-compressor-dometic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lista.mercadolivre.com.br/gps-igpsport-igs630" TargetMode="External" Id="rId1"/><Relationship Type="http://schemas.openxmlformats.org/officeDocument/2006/relationships/hyperlink" Target="https://lista.mercadolivre.com.br/igpsport-bsc300" TargetMode="External" Id="rId2"/><Relationship Type="http://schemas.openxmlformats.org/officeDocument/2006/relationships/hyperlink" Target="https://lista.mercadolivre.com.br/mimosa-c5c" TargetMode="External" Id="rId3"/><Relationship Type="http://schemas.openxmlformats.org/officeDocument/2006/relationships/hyperlink" Target="https://lista.mercadolivre.com.br/garmin-edge-840-bundle-usado" TargetMode="External" Id="rId4"/><Relationship Type="http://schemas.openxmlformats.org/officeDocument/2006/relationships/hyperlink" Target="https://lista.mercadolivre.com.br/garmin-edge-540-bundle-usado" TargetMode="External" Id="rId5"/><Relationship Type="http://schemas.openxmlformats.org/officeDocument/2006/relationships/hyperlink" Target="https://lista.mercadolivre.com.br/garmin-edge-540-bundle-usado" TargetMode="External" Id="rId6"/><Relationship Type="http://schemas.openxmlformats.org/officeDocument/2006/relationships/hyperlink" Target="https://lista.mercadolivre.com.br/garmin-etrex-solar-usado" TargetMode="External" Id="rId7"/><Relationship Type="http://schemas.openxmlformats.org/officeDocument/2006/relationships/hyperlink" Target="https://lista.mercadolivre.com.br/smartwatch-relog-intlg-apple-series-41mm" TargetMode="External" Id="rId8"/><Relationship Type="http://schemas.openxmlformats.org/officeDocument/2006/relationships/hyperlink" Target="https://lista.mercadolivre.com.br/smartwatch-relog-intlg-apple-series-41mm" TargetMode="External" Id="rId9"/><Relationship Type="http://schemas.openxmlformats.org/officeDocument/2006/relationships/hyperlink" Target="https://lista.mercadolivre.com.br/gps-garmin-striker-vivid-5cv-mncf18453" TargetMode="External" Id="rId10"/><Relationship Type="http://schemas.openxmlformats.org/officeDocument/2006/relationships/hyperlink" Target="https://lista.mercadolivre.com.br/gps-garmin-striker-vivid-7cv-izyq21872" TargetMode="External" Id="rId11"/><Relationship Type="http://schemas.openxmlformats.org/officeDocument/2006/relationships/hyperlink" Target="https://lista.mercadolivre.com.br/smartwatch-relog-intlg-amazfit-rex-ultra" TargetMode="External" Id="rId12"/><Relationship Type="http://schemas.openxmlformats.org/officeDocument/2006/relationships/hyperlink" Target="https://lista.mercadolivre.com.br/smartwatch-relog-intlg-amazfit-rexultra-jspj64282" TargetMode="External" Id="rId13"/><Relationship Type="http://schemas.openxmlformats.org/officeDocument/2006/relationships/hyperlink" Target="https://lista.mercadolivre.com.br/drone-radiocontrolado-lyzrc-rjul75161" TargetMode="External" Id="rId14"/><Relationship Type="http://schemas.openxmlformats.org/officeDocument/2006/relationships/hyperlink" Target="https://lista.mercadolivre.com.br/radio-comunicador-portatil-icom-ic-m37" TargetMode="External" Id="rId15"/><Relationship Type="http://schemas.openxmlformats.org/officeDocument/2006/relationships/hyperlink" Target="https://lista.mercadolivre.com.br/gps-garmin-striker-vivid-7cv-izyq21872" TargetMode="External" Id="rId16"/><Relationship Type="http://schemas.openxmlformats.org/officeDocument/2006/relationships/hyperlink" Target="https://lista.mercadolivre.com.br/smartwatch-relog-intlg-garmin-forerunner-265" TargetMode="External" Id="rId17"/><Relationship Type="http://schemas.openxmlformats.org/officeDocument/2006/relationships/hyperlink" Target="https://lista.mercadolivre.com.br/gps-garmin-etrex-32x-hqyq19115-7q2002805" TargetMode="External" Id="rId18"/><Relationship Type="http://schemas.openxmlformats.org/officeDocument/2006/relationships/hyperlink" Target="https://lista.mercadolivre.com.br/radio-uniden-vhf-maritime-um385-xyen29130" TargetMode="External" Id="rId19"/><Relationship Type="http://schemas.openxmlformats.org/officeDocument/2006/relationships/hyperlink" Target="https://lista.mercadolivre.com.br/radio-amador-px-yaesu-ft-2980r" TargetMode="External" Id="rId20"/><Relationship Type="http://schemas.openxmlformats.org/officeDocument/2006/relationships/hyperlink" Target="https://lista.mercadolivre.com.br/gps-garmin-striker-plus-hfoe98294-5a8292146" TargetMode="External" Id="rId21"/><Relationship Type="http://schemas.openxmlformats.org/officeDocument/2006/relationships/hyperlink" Target="https://lista.mercadolivre.com.br/gps-garmin-striker-plus-hfoe98294-5a8292145" TargetMode="External" Id="rId22"/><Relationship Type="http://schemas.openxmlformats.org/officeDocument/2006/relationships/hyperlink" Target="https://lista.mercadolivre.com.br/gps-garmin-striker-plus-hfoe98294-5a8291887" TargetMode="External" Id="rId23"/><Relationship Type="http://schemas.openxmlformats.org/officeDocument/2006/relationships/hyperlink" Target="https://lista.mercadolivre.com.br/gps-garmin-striker-mdwd21373-4j3824019" TargetMode="External" Id="rId24"/><Relationship Type="http://schemas.openxmlformats.org/officeDocument/2006/relationships/hyperlink" Target="https://lista.mercadolivre.com.br/gps-garmin-striker-mdwd21373-4j3805556" TargetMode="External" Id="rId25"/><Relationship Type="http://schemas.openxmlformats.org/officeDocument/2006/relationships/hyperlink" Target="https://lista.mercadolivre.com.br/gps-garmin-striker-mdwd21373-4j3824087" TargetMode="External" Id="rId26"/><Relationship Type="http://schemas.openxmlformats.org/officeDocument/2006/relationships/hyperlink" Target="https://lista.mercadolivre.com.br/smartwatch-relog-intlg-amazfit-rex-ultra" TargetMode="External" Id="rId27"/><Relationship Type="http://schemas.openxmlformats.org/officeDocument/2006/relationships/hyperlink" Target="https://lista.mercadolivre.com.br/gps-garmin-striker-plus-hfoe98294-5a8359929" TargetMode="External" Id="rId28"/><Relationship Type="http://schemas.openxmlformats.org/officeDocument/2006/relationships/hyperlink" Target="https://lista.mercadolivre.com.br/gps-garmin-striker-plus-hfoe98294-5a8369842" TargetMode="External" Id="rId29"/><Relationship Type="http://schemas.openxmlformats.org/officeDocument/2006/relationships/hyperlink" Target="https://lista.mercadolivre.com.br/smartwatch-relog-intlg-apple-series-se" TargetMode="External" Id="rId30"/><Relationship Type="http://schemas.openxmlformats.org/officeDocument/2006/relationships/hyperlink" Target="https://lista.mercadolivre.com.br/smartwatch-relog-intlg-apple-gen2-se" TargetMode="External" Id="rId31"/><Relationship Type="http://schemas.openxmlformats.org/officeDocument/2006/relationships/hyperlink" Target="https://lista.mercadolivre.com.br/smartwatch-relog-intlg-apple-gen-se" TargetMode="External" Id="rId32"/><Relationship Type="http://schemas.openxmlformats.org/officeDocument/2006/relationships/hyperlink" Target="https://lista.mercadolivre.com.br/gps-garmin-striker-plus-hfoe98294-5a8292409" TargetMode="External" Id="rId33"/><Relationship Type="http://schemas.openxmlformats.org/officeDocument/2006/relationships/hyperlink" Target="https://lista.mercadolivre.com.br/gps-garmin-striker-plus-hfoe98294-5a8294363" TargetMode="External" Id="rId34"/><Relationship Type="http://schemas.openxmlformats.org/officeDocument/2006/relationships/hyperlink" Target="https://lista.mercadolivre.com.br/antena-starlink-kit" TargetMode="External" Id="rId35"/><Relationship Type="http://schemas.openxmlformats.org/officeDocument/2006/relationships/hyperlink" Target="https://lista.mercadolivre.com.br/smartwatch-relog-intlg-amazfit-gtr-new" TargetMode="External" Id="rId36"/><Relationship Type="http://schemas.openxmlformats.org/officeDocument/2006/relationships/hyperlink" Target="https://lista.mercadolivre.com.br/smartwatch-relog-intlg-amazfit-gts-zhfi62830" TargetMode="External" Id="rId37"/><Relationship Type="http://schemas.openxmlformats.org/officeDocument/2006/relationships/hyperlink" Target="https://lista.mercadolivre.com.br/smartwatch-relog-intlg-amazfit-gts-zhfi62830" TargetMode="External" Id="rId38"/><Relationship Type="http://schemas.openxmlformats.org/officeDocument/2006/relationships/hyperlink" Target="https://lista.mercadolivre.com.br/smartwatch-relog-intlg-amazfit-gts-zhfi62830" TargetMode="External" Id="rId39"/><Relationship Type="http://schemas.openxmlformats.org/officeDocument/2006/relationships/hyperlink" Target="https://lista.mercadolivre.com.br/smartwatch-relog-intlg-amazfit-gts-lkam30537" TargetMode="External" Id="rId40"/><Relationship Type="http://schemas.openxmlformats.org/officeDocument/2006/relationships/hyperlink" Target="https://lista.mercadolivre.com.br/smartwatch-relog-intlg-amazfit-cheetah-zxbw58285" TargetMode="External" Id="rId41"/><Relationship Type="http://schemas.openxmlformats.org/officeDocument/2006/relationships/hyperlink" Target="https://lista.mercadolivre.com.br/smartwatch-relog-intlg-garmin-forerunner-55" TargetMode="External" Id="rId42"/><Relationship Type="http://schemas.openxmlformats.org/officeDocument/2006/relationships/hyperlink" Target="https://lista.mercadolivre.com.br/smartwatch-relog-intlg-garmin-forerunner-55" TargetMode="External" Id="rId43"/><Relationship Type="http://schemas.openxmlformats.org/officeDocument/2006/relationships/hyperlink" Target="https://lista.mercadolivre.com.br/suporte-celular-dji-osmo-mobile-qejm64379" TargetMode="External" Id="rId44"/><Relationship Type="http://schemas.openxmlformats.org/officeDocument/2006/relationships/hyperlink" Target="https://lista.mercadolivre.com.br/drone-radiocontrolado-lyzrc-l900-ukmk90209" TargetMode="External" Id="rId45"/><Relationship Type="http://schemas.openxmlformats.org/officeDocument/2006/relationships/hyperlink" Target="https://lista.mercadolivre.com.br/smartwatch-relog-intlg-amazfit-gtr3-a1971" TargetMode="External" Id="rId46"/><Relationship Type="http://schemas.openxmlformats.org/officeDocument/2006/relationships/hyperlink" Target="https://lista.mercadolivre.com.br/gps-garmin-striker-mdwd21373-4j3821911" TargetMode="External" Id="rId47"/><Relationship Type="http://schemas.openxmlformats.org/officeDocument/2006/relationships/hyperlink" Target="https://lista.mercadolivre.com.br/smartwatch-relog-intlg-amazfit-rex-nznn42294" TargetMode="External" Id="rId48"/><Relationship Type="http://schemas.openxmlformats.org/officeDocument/2006/relationships/hyperlink" Target="https://lista.mercadolivre.com.br/smartwatch-relog-intlg-amazfit-rex-nznn42294" TargetMode="External" Id="rId49"/><Relationship Type="http://schemas.openxmlformats.org/officeDocument/2006/relationships/hyperlink" Target="https://lista.mercadolivre.com.br/smartwatch-relog-intlg-amazfit-rex-nznn42294" TargetMode="External" Id="rId50"/><Relationship Type="http://schemas.openxmlformats.org/officeDocument/2006/relationships/hyperlink" Target="https://lista.mercadolivre.com.br/smartwatch-relog-intlg-amazfit-rex-nznn42294" TargetMode="External" Id="rId51"/><Relationship Type="http://schemas.openxmlformats.org/officeDocument/2006/relationships/hyperlink" Target="https://lista.mercadolivre.com.br/smartwatch-relog-intlg-amazfit-rex-nznn42294" TargetMode="External" Id="rId52"/><Relationship Type="http://schemas.openxmlformats.org/officeDocument/2006/relationships/hyperlink" Target="https://lista.mercadolivre.com.br/smartwatch-relog-intlg-amazfit-rex-nznn42294" TargetMode="External" Id="rId53"/><Relationship Type="http://schemas.openxmlformats.org/officeDocument/2006/relationships/hyperlink" Target="https://lista.mercadolivre.com.br/smartwatch-relog-intlg-amazfit-rex-nznn42294" TargetMode="External" Id="rId54"/><Relationship Type="http://schemas.openxmlformats.org/officeDocument/2006/relationships/hyperlink" Target="https://lista.mercadolivre.com.br/smartwatch-relog-intlg-amazfit-rex-kcss42842" TargetMode="External" Id="rId55"/><Relationship Type="http://schemas.openxmlformats.org/officeDocument/2006/relationships/hyperlink" Target="https://lista.mercadolivre.com.br/gps-igpsport-cad70-sensor-cadencia" TargetMode="External" Id="rId56"/><Relationship Type="http://schemas.openxmlformats.org/officeDocument/2006/relationships/hyperlink" Target="https://lista.mercadolivre.com.br/smartwatch-relog-intlg-amazfit-gtr-xxff90952" TargetMode="External" Id="rId57"/><Relationship Type="http://schemas.openxmlformats.org/officeDocument/2006/relationships/hyperlink" Target="https://lista.mercadolivre.com.br/smartwatch-relog-intlg-amazfit-gtr-xxff90952" TargetMode="External" Id="rId58"/><Relationship Type="http://schemas.openxmlformats.org/officeDocument/2006/relationships/hyperlink" Target="https://lista.mercadolivre.com.br/smartwatch-relog-intlg-amazfit-gtr-xxff90952" TargetMode="External" Id="rId59"/><Relationship Type="http://schemas.openxmlformats.org/officeDocument/2006/relationships/hyperlink" Target="https://lista.mercadolivre.com.br/smartwatch-relog-intlg-amazfit-gtr-xxff90952" TargetMode="External" Id="rId60"/><Relationship Type="http://schemas.openxmlformats.org/officeDocument/2006/relationships/hyperlink" Target="https://lista.mercadolivre.com.br/smartwatch-relog-intlg-amazfit-gtr-xxff90952" TargetMode="External" Id="rId61"/><Relationship Type="http://schemas.openxmlformats.org/officeDocument/2006/relationships/hyperlink" Target="https://lista.mercadolivre.com.br/smartwatch-relog-intlg-amazfit-gtr-xxff90952" TargetMode="External" Id="rId62"/><Relationship Type="http://schemas.openxmlformats.org/officeDocument/2006/relationships/hyperlink" Target="https://lista.mercadolivre.com.br/smartwatch-relog-intlg-amazfit-gts-jxpr31593" TargetMode="External" Id="rId63"/><Relationship Type="http://schemas.openxmlformats.org/officeDocument/2006/relationships/hyperlink" Target="https://lista.mercadolivre.com.br/smartwatch-relog-intlg-amazfit-gts-jxpr31593" TargetMode="External" Id="rId64"/><Relationship Type="http://schemas.openxmlformats.org/officeDocument/2006/relationships/hyperlink" Target="https://lista.mercadolivre.com.br/smartwatch-relog-intlg-amazfit-gts-xxff90952" TargetMode="External" Id="rId65"/><Relationship Type="http://schemas.openxmlformats.org/officeDocument/2006/relationships/hyperlink" Target="https://lista.mercadolivre.com.br/smartwatch-relog-intlg-amazfit-gts-xxff90952" TargetMode="External" Id="rId66"/><Relationship Type="http://schemas.openxmlformats.org/officeDocument/2006/relationships/hyperlink" Target="https://lista.mercadolivre.com.br/smartwatch-relog-intlg-amazfit-gts-lkam30537" TargetMode="External" Id="rId67"/><Relationship Type="http://schemas.openxmlformats.org/officeDocument/2006/relationships/hyperlink" Target="https://lista.mercadolivre.com.br/smartwatch-relog-intlg-amazfit-gts-lkam30537" TargetMode="External" Id="rId68"/><Relationship Type="http://schemas.openxmlformats.org/officeDocument/2006/relationships/hyperlink" Target="https://lista.mercadolivre.com.br/smartwatch-relog-intlg-amazfit-gts-lkam30537" TargetMode="External" Id="rId69"/><Relationship Type="http://schemas.openxmlformats.org/officeDocument/2006/relationships/hyperlink" Target="https://lista.mercadolivre.com.br/smartwatch-relog-intlg-amazfit-gts4-lgmn29842" TargetMode="External" Id="rId70"/><Relationship Type="http://schemas.openxmlformats.org/officeDocument/2006/relationships/hyperlink" Target="https://lista.mercadolivre.com.br/smartwatch-relog-intlg-amazfit-gts-ozli58387" TargetMode="External" Id="rId71"/><Relationship Type="http://schemas.openxmlformats.org/officeDocument/2006/relationships/hyperlink" Target="https://lista.mercadolivre.com.br/suporte-celular-dji-osmo-mobile" TargetMode="External" Id="rId72"/><Relationship Type="http://schemas.openxmlformats.org/officeDocument/2006/relationships/hyperlink" Target="https://lista.mercadolivre.com.br/suporte-celular-dji-osmo-mobile-qejm64379" TargetMode="External" Id="rId73"/><Relationship Type="http://schemas.openxmlformats.org/officeDocument/2006/relationships/hyperlink" Target="https://lista.mercadolivre.com.br/suporte-celular-dji-osmo-mobile-sleb14228" TargetMode="External" Id="rId74"/><Relationship Type="http://schemas.openxmlformats.org/officeDocument/2006/relationships/hyperlink" Target="https://lista.mercadolivre.com.br/suporte-celular-dji-osmo-mobile-aeys52511" TargetMode="External" Id="rId75"/><Relationship Type="http://schemas.openxmlformats.org/officeDocument/2006/relationships/hyperlink" Target="https://lista.mercadolivre.com.br/suporte-celular-dji-osmo-mobile-aeys52511" TargetMode="External" Id="rId76"/><Relationship Type="http://schemas.openxmlformats.org/officeDocument/2006/relationships/hyperlink" Target="https://lista.mercadolivre.com.br/suporte-celular-dji-osmo-mobile-aeys52511" TargetMode="External" Id="rId77"/><Relationship Type="http://schemas.openxmlformats.org/officeDocument/2006/relationships/hyperlink" Target="https://lista.mercadolivre.com.br/suporte-celular-dji-osmo-mobile-aeys52511" TargetMode="External" Id="rId78"/><Relationship Type="http://schemas.openxmlformats.org/officeDocument/2006/relationships/hyperlink" Target="https://lista.mercadolivre.com.br/suporte-celular-dji-osmo-mobile-aeys52511" TargetMode="External" Id="rId79"/><Relationship Type="http://schemas.openxmlformats.org/officeDocument/2006/relationships/hyperlink" Target="https://lista.mercadolivre.com.br/suporte-celular-dji-osmo-mobile-aeys52511" TargetMode="External" Id="rId80"/><Relationship Type="http://schemas.openxmlformats.org/officeDocument/2006/relationships/hyperlink" Target="https://lista.mercadolivre.com.br/suporte-celular-dji-osmo-mobile-aeys52511" TargetMode="External" Id="rId81"/><Relationship Type="http://schemas.openxmlformats.org/officeDocument/2006/relationships/hyperlink" Target="https://lista.mercadolivre.com.br/sonar-garmin-striker-plus-transducer-5a8158052" TargetMode="External" Id="rId82"/><Relationship Type="http://schemas.openxmlformats.org/officeDocument/2006/relationships/hyperlink" Target="https://lista.mercadolivre.com.br/gps-garmin-striker-plus-transducer-5a8367776" TargetMode="External" Id="rId83"/><Relationship Type="http://schemas.openxmlformats.org/officeDocument/2006/relationships/hyperlink" Target="https://lista.mercadolivre.com.br/gps-garmin-striker-plus-transducer-rtnr22749" TargetMode="External" Id="rId84"/><Relationship Type="http://schemas.openxmlformats.org/officeDocument/2006/relationships/hyperlink" Target="https://lista.mercadolivre.com.br/suporte-celular-estabilizador-dji-osmo-mobile" TargetMode="External" Id="rId85"/><Relationship Type="http://schemas.openxmlformats.org/officeDocument/2006/relationships/hyperlink" Target="https://lista.mercadolivre.com.br/suporte-celular-dji-osmo-mobile-zvzd92203" TargetMode="External" Id="rId86"/><Relationship Type="http://schemas.openxmlformats.org/officeDocument/2006/relationships/hyperlink" Target="https://lista.mercadolivre.com.br/suporte-celular-dji-osmo-mobile-zvzd92203" TargetMode="External" Id="rId87"/><Relationship Type="http://schemas.openxmlformats.org/officeDocument/2006/relationships/hyperlink" Target="https://lista.mercadolivre.com.br/suporte-celular-dji-osmo-mobile-zvzd92203" TargetMode="External" Id="rId88"/><Relationship Type="http://schemas.openxmlformats.org/officeDocument/2006/relationships/hyperlink" Target="https://lista.mercadolivre.com.br/suporte-celular-dji-osmo-mobile-zvzd92203" TargetMode="External" Id="rId89"/><Relationship Type="http://schemas.openxmlformats.org/officeDocument/2006/relationships/hyperlink" Target="https://lista.mercadolivre.com.br/suporte-celular-dji-osmo-mobile-zvzd92203" TargetMode="External" Id="rId90"/><Relationship Type="http://schemas.openxmlformats.org/officeDocument/2006/relationships/hyperlink" Target="https://lista.mercadolivre.com.br/suporte-celular-dji-osmo-mobile-zvzd92203" TargetMode="External" Id="rId91"/><Relationship Type="http://schemas.openxmlformats.org/officeDocument/2006/relationships/hyperlink" Target="https://lista.mercadolivre.com.br/suporte-celular-dji-osmo-mobile-jozh24619" TargetMode="External" Id="rId92"/><Relationship Type="http://schemas.openxmlformats.org/officeDocument/2006/relationships/hyperlink" Target="https://lista.mercadolivre.com.br/suporte-celular-dji-osmo-mobile-zvzd92203" TargetMode="External" Id="rId93"/><Relationship Type="http://schemas.openxmlformats.org/officeDocument/2006/relationships/hyperlink" Target="https://lista.mercadolivre.com.br/suporte-celular-dji-osmo-mobile-lotp68395" TargetMode="External" Id="rId94"/><Relationship Type="http://schemas.openxmlformats.org/officeDocument/2006/relationships/hyperlink" Target="https://lista.mercadolivre.com.br/suporte-celular-dji-osmo-mobile-lotp68395" TargetMode="External" Id="rId95"/><Relationship Type="http://schemas.openxmlformats.org/officeDocument/2006/relationships/hyperlink" Target="https://lista.mercadolivre.com.br/suporte-celular-dji-osmo-mobile-nhcm54842" TargetMode="External" Id="rId96"/><Relationship Type="http://schemas.openxmlformats.org/officeDocument/2006/relationships/hyperlink" Target="https://lista.mercadolivre.com.br/suporte-celular-stabilizador-dji-osmo-mobile" TargetMode="External" Id="rId97"/><Relationship Type="http://schemas.openxmlformats.org/officeDocument/2006/relationships/hyperlink" Target="https://lista.mercadolivre.com.br/suporte-celular-dji-osmo-mobile-se" TargetMode="External" Id="rId98"/><Relationship Type="http://schemas.openxmlformats.org/officeDocument/2006/relationships/hyperlink" Target="https://lista.mercadolivre.com.br/suporte-celular-dji-osmo-mobile-se" TargetMode="External" Id="rId99"/><Relationship Type="http://schemas.openxmlformats.org/officeDocument/2006/relationships/hyperlink" Target="https://lista.mercadolivre.com.br/suporte-celular-dji-osmo-mobile-se" TargetMode="External" Id="rId100"/><Relationship Type="http://schemas.openxmlformats.org/officeDocument/2006/relationships/hyperlink" Target="https://lista.mercadolivre.com.br/suporte-celular-dji-osmo-mobile-se" TargetMode="External" Id="rId101"/><Relationship Type="http://schemas.openxmlformats.org/officeDocument/2006/relationships/hyperlink" Target="https://lista.mercadolivre.com.br/suporte-celular-dji-osmo-mobile-se" TargetMode="External" Id="rId102"/><Relationship Type="http://schemas.openxmlformats.org/officeDocument/2006/relationships/hyperlink" Target="https://lista.mercadolivre.com.br/suporte-celular-dji-osmo-mobile-se" TargetMode="External" Id="rId103"/><Relationship Type="http://schemas.openxmlformats.org/officeDocument/2006/relationships/hyperlink" Target="https://lista.mercadolivre.com.br/suporte-celular-dji-osmo-mobile-se" TargetMode="External" Id="rId104"/><Relationship Type="http://schemas.openxmlformats.org/officeDocument/2006/relationships/hyperlink" Target="https://lista.mercadolivre.com.br/radio-amador-unidem-um385bk" TargetMode="External" Id="rId105"/><Relationship Type="http://schemas.openxmlformats.org/officeDocument/2006/relationships/hyperlink" Target="https://lista.mercadolivre.com.br/smartwatch-relog-intlg-amazfit-watch-sqmk62713" TargetMode="External" Id="rId106"/><Relationship Type="http://schemas.openxmlformats.org/officeDocument/2006/relationships/hyperlink" Target="https://lista.mercadolivre.com.br/smartwatch-relog-intlg-amazfit-active-a2211" TargetMode="External" Id="rId107"/><Relationship Type="http://schemas.openxmlformats.org/officeDocument/2006/relationships/hyperlink" Target="https://lista.mercadolivre.com.br/smartwatch-relog-intlg-amazfit-active-a2211" TargetMode="External" Id="rId108"/><Relationship Type="http://schemas.openxmlformats.org/officeDocument/2006/relationships/hyperlink" Target="https://lista.mercadolivre.com.br/smartwatch-relog-intlg-amazfit-active-a2211" TargetMode="External" Id="rId109"/><Relationship Type="http://schemas.openxmlformats.org/officeDocument/2006/relationships/hyperlink" Target="https://lista.mercadolivre.com.br/smartwatch-relog-intlg-amazfit-active-hmib30571" TargetMode="External" Id="rId110"/><Relationship Type="http://schemas.openxmlformats.org/officeDocument/2006/relationships/hyperlink" Target="https://lista.mercadolivre.com.br/smartwatch-relog-intlg-xiaomi-redmi-watch" TargetMode="External" Id="rId111"/><Relationship Type="http://schemas.openxmlformats.org/officeDocument/2006/relationships/hyperlink" Target="https://lista.mercadolivre.com.br/smartwatch-relog-intlg-xiaomi-redmi-watch" TargetMode="External" Id="rId112"/><Relationship Type="http://schemas.openxmlformats.org/officeDocument/2006/relationships/hyperlink" Target="https://lista.mercadolivre.com.br/smartwatch-relog-intlg-xiaomi-redmi-watch" TargetMode="External" Id="rId113"/><Relationship Type="http://schemas.openxmlformats.org/officeDocument/2006/relationships/hyperlink" Target="https://lista.mercadolivre.com.br/smartwatch-relog-intlg-xiaomi-redmi-watch" TargetMode="External" Id="rId114"/><Relationship Type="http://schemas.openxmlformats.org/officeDocument/2006/relationships/hyperlink" Target="https://lista.mercadolivre.com.br/suporte-celular-dji-osmo-mobile-se" TargetMode="External" Id="rId115"/><Relationship Type="http://schemas.openxmlformats.org/officeDocument/2006/relationships/hyperlink" Target="https://lista.mercadolivre.com.br/suporte-celular-dji-osmo-mobile-se" TargetMode="External" Id="rId116"/><Relationship Type="http://schemas.openxmlformats.org/officeDocument/2006/relationships/hyperlink" Target="https://lista.mercadolivre.com.br/smartwatch-relog-intlg-amazfit-gtr-dsml97626" TargetMode="External" Id="rId117"/><Relationship Type="http://schemas.openxmlformats.org/officeDocument/2006/relationships/hyperlink" Target="https://lista.mercadolivre.com.br/smartwatch-relog-intlg-amazfit-gtr-xzem13347" TargetMode="External" Id="rId118"/><Relationship Type="http://schemas.openxmlformats.org/officeDocument/2006/relationships/hyperlink" Target="https://lista.mercadolivre.com.br/smartwatch-relog-intlg-amazfit-gtr-mnrp17765" TargetMode="External" Id="rId119"/><Relationship Type="http://schemas.openxmlformats.org/officeDocument/2006/relationships/hyperlink" Target="https://lista.mercadolivre.com.br/smartwatch-relog-intlg-amazfit-gtr-rzlg37853" TargetMode="External" Id="rId120"/><Relationship Type="http://schemas.openxmlformats.org/officeDocument/2006/relationships/hyperlink" Target="https://lista.mercadolivre.com.br/smartwatch-relog-intlg-amazfit-gtr-rzlg37853" TargetMode="External" Id="rId121"/><Relationship Type="http://schemas.openxmlformats.org/officeDocument/2006/relationships/hyperlink" Target="https://lista.mercadolivre.com.br/suporte-celular-dji-osmo-mobile-se" TargetMode="External" Id="rId122"/><Relationship Type="http://schemas.openxmlformats.org/officeDocument/2006/relationships/hyperlink" Target="https://lista.mercadolivre.com.br/suporte-celular-dji-osmo-mobile-se" TargetMode="External" Id="rId123"/><Relationship Type="http://schemas.openxmlformats.org/officeDocument/2006/relationships/hyperlink" Target="https://lista.mercadolivre.com.br/suporte-celular-dji-osmo-mobile-se" TargetMode="External" Id="rId124"/><Relationship Type="http://schemas.openxmlformats.org/officeDocument/2006/relationships/hyperlink" Target="https://lista.mercadolivre.com.br/suporte-celular-dji-osmo-mobile-se" TargetMode="External" Id="rId125"/><Relationship Type="http://schemas.openxmlformats.org/officeDocument/2006/relationships/hyperlink" Target="https://lista.mercadolivre.com.br/suporte-celular-dji-osmo-mobile-se" TargetMode="External" Id="rId126"/><Relationship Type="http://schemas.openxmlformats.org/officeDocument/2006/relationships/hyperlink" Target="https://lista.mercadolivre.com.br/suporte-celular-dji-osmo-mobile-se" TargetMode="External" Id="rId127"/><Relationship Type="http://schemas.openxmlformats.org/officeDocument/2006/relationships/hyperlink" Target="https://lista.mercadolivre.com.br/smartwatch-relog-intlg-amazfit-gts-mini" TargetMode="External" Id="rId128"/><Relationship Type="http://schemas.openxmlformats.org/officeDocument/2006/relationships/hyperlink" Target="https://lista.mercadolivre.com.br/smartwatch-relog-intlg-amazfit-gts-mini" TargetMode="External" Id="rId129"/><Relationship Type="http://schemas.openxmlformats.org/officeDocument/2006/relationships/hyperlink" Target="https://lista.mercadolivre.com.br/smartwatch-relog-intlg-amazfit-active-hiai29021" TargetMode="External" Id="rId130"/><Relationship Type="http://schemas.openxmlformats.org/officeDocument/2006/relationships/hyperlink" Target="https://lista.mercadolivre.com.br/smartwatch-relog-intlg-amazfit-active-jrhx21942" TargetMode="External" Id="rId131"/><Relationship Type="http://schemas.openxmlformats.org/officeDocument/2006/relationships/hyperlink" Target="https://lista.mercadolivre.com.br/smartwatch-relog-intlg-amazfit-gts-mini" TargetMode="External" Id="rId132"/><Relationship Type="http://schemas.openxmlformats.org/officeDocument/2006/relationships/hyperlink" Target="https://lista.mercadolivre.com.br/smartwatch-relog-intlg-amazfit-gts-mini" TargetMode="External" Id="rId133"/><Relationship Type="http://schemas.openxmlformats.org/officeDocument/2006/relationships/hyperlink" Target="https://lista.mercadolivre.com.br/smartwatch-relog-intlg-xiaomi-redmi-watch" TargetMode="External" Id="rId134"/><Relationship Type="http://schemas.openxmlformats.org/officeDocument/2006/relationships/hyperlink" Target="https://lista.mercadolivre.com.br/smartwatch-relog-intlg-amazfit-gts-mini" TargetMode="External" Id="rId135"/><Relationship Type="http://schemas.openxmlformats.org/officeDocument/2006/relationships/hyperlink" Target="https://lista.mercadolivre.com.br/smartwatch-relog-intlg-amazfit-gts-mini" TargetMode="External" Id="rId136"/><Relationship Type="http://schemas.openxmlformats.org/officeDocument/2006/relationships/hyperlink" Target="https://lista.mercadolivre.com.br/smartwatch-relog-intlg-amazfit-gts-mini" TargetMode="External" Id="rId137"/><Relationship Type="http://schemas.openxmlformats.org/officeDocument/2006/relationships/hyperlink" Target="https://lista.mercadolivre.com.br/smartwatch-relog-intlg-amazfit-gts-mini" TargetMode="External" Id="rId138"/><Relationship Type="http://schemas.openxmlformats.org/officeDocument/2006/relationships/hyperlink" Target="https://lista.mercadolivre.com.br/smartwatch-relog-intlg-amazfit-gts-mini" TargetMode="External" Id="rId139"/><Relationship Type="http://schemas.openxmlformats.org/officeDocument/2006/relationships/hyperlink" Target="https://lista.mercadolivre.com.br/smartwatch-relog-intlg-amazfit-gts-mini" TargetMode="External" Id="rId140"/><Relationship Type="http://schemas.openxmlformats.org/officeDocument/2006/relationships/hyperlink" Target="https://lista.mercadolivre.com.br/smartwatch-relog-intlg-amazfit-gts-mini" TargetMode="External" Id="rId141"/><Relationship Type="http://schemas.openxmlformats.org/officeDocument/2006/relationships/hyperlink" Target="https://lista.mercadolivre.com.br/smartwatch-relog-intlg-amazfit-gts-mini" TargetMode="External" Id="rId142"/><Relationship Type="http://schemas.openxmlformats.org/officeDocument/2006/relationships/hyperlink" Target="https://lista.mercadolivre.com.br/smartwatch-relog-intlg-amazfit-gts-mini" TargetMode="External" Id="rId143"/><Relationship Type="http://schemas.openxmlformats.org/officeDocument/2006/relationships/hyperlink" Target="https://lista.mercadolivre.com.br/smartwatch-relog-intlg-amazfit-gts-mini" TargetMode="External" Id="rId144"/><Relationship Type="http://schemas.openxmlformats.org/officeDocument/2006/relationships/hyperlink" Target="https://lista.mercadolivre.com.br/smartwatch-relog-intlg-amazfit-gts-mini" TargetMode="External" Id="rId145"/><Relationship Type="http://schemas.openxmlformats.org/officeDocument/2006/relationships/hyperlink" Target="https://lista.mercadolivre.com.br/smartwatch-relog-intlg-xiaomi-redmi-watch" TargetMode="External" Id="rId146"/><Relationship Type="http://schemas.openxmlformats.org/officeDocument/2006/relationships/hyperlink" Target="https://lista.mercadolivre.com.br/smartwatch-relog-intlg-xiaomi-redmi-watch" TargetMode="External" Id="rId147"/><Relationship Type="http://schemas.openxmlformats.org/officeDocument/2006/relationships/hyperlink" Target="https://lista.mercadolivre.com.br/smartwatch-relog-intlg-amazfit-gts-mini" TargetMode="External" Id="rId148"/><Relationship Type="http://schemas.openxmlformats.org/officeDocument/2006/relationships/hyperlink" Target="https://lista.mercadolivre.com.br/smartwatch-relog-intlg-amazfit-gts-mini" TargetMode="External" Id="rId149"/><Relationship Type="http://schemas.openxmlformats.org/officeDocument/2006/relationships/hyperlink" Target="https://lista.mercadolivre.com.br/smartwatch-relog-intlg-amazfit-gts-mini" TargetMode="External" Id="rId150"/><Relationship Type="http://schemas.openxmlformats.org/officeDocument/2006/relationships/hyperlink" Target="https://lista.mercadolivre.com.br/smartwatch-relog-intlg-amazfit-gts-mini" TargetMode="External" Id="rId151"/><Relationship Type="http://schemas.openxmlformats.org/officeDocument/2006/relationships/hyperlink" Target="https://lista.mercadolivre.com.br/smartwatch-relog-intlg-amazfit-gts-mini" TargetMode="External" Id="rId152"/><Relationship Type="http://schemas.openxmlformats.org/officeDocument/2006/relationships/hyperlink" Target="https://lista.mercadolivre.com.br/smartwatch-relog-intlg-amazfit-gts-mini" TargetMode="External" Id="rId153"/><Relationship Type="http://schemas.openxmlformats.org/officeDocument/2006/relationships/hyperlink" Target="https://lista.mercadolivre.com.br/smartwatch-relog-intlg-amazfit-gts-mini" TargetMode="External" Id="rId154"/><Relationship Type="http://schemas.openxmlformats.org/officeDocument/2006/relationships/hyperlink" Target="https://lista.mercadolivre.com.br/smartwatch-relog-intlg-amazfit-gts-mini" TargetMode="External" Id="rId155"/><Relationship Type="http://schemas.openxmlformats.org/officeDocument/2006/relationships/hyperlink" Target="https://lista.mercadolivre.com.br/smartwatch-relog-intlg-amazfit-gts-mini" TargetMode="External" Id="rId156"/><Relationship Type="http://schemas.openxmlformats.org/officeDocument/2006/relationships/hyperlink" Target="https://lista.mercadolivre.com.br/smartwatch-relog-intlg-amazfit-gtr2" TargetMode="External" Id="rId157"/><Relationship Type="http://schemas.openxmlformats.org/officeDocument/2006/relationships/hyperlink" Target="https://lista.mercadolivre.com.br/smartwatch-relog-intlg-amazfit-gtr2" TargetMode="External" Id="rId158"/><Relationship Type="http://schemas.openxmlformats.org/officeDocument/2006/relationships/hyperlink" Target="https://lista.mercadolivre.com.br/smartwatch-relog-intlg-amazfit-gts-ansx65252" TargetMode="External" Id="rId159"/><Relationship Type="http://schemas.openxmlformats.org/officeDocument/2006/relationships/hyperlink" Target="https://lista.mercadolivre.com.br/smartwatch-relog-intlg-amazfit-gtr-mini" TargetMode="External" Id="rId160"/><Relationship Type="http://schemas.openxmlformats.org/officeDocument/2006/relationships/hyperlink" Target="https://lista.mercadolivre.com.br/smartwatch-relog-intlg-amazfit-gtr-mini" TargetMode="External" Id="rId161"/><Relationship Type="http://schemas.openxmlformats.org/officeDocument/2006/relationships/hyperlink" Target="https://lista.mercadolivre.com.br/smartwatch-relog-intlg-amazfit-gtr-mini" TargetMode="External" Id="rId162"/><Relationship Type="http://schemas.openxmlformats.org/officeDocument/2006/relationships/hyperlink" Target="https://lista.mercadolivre.com.br/smartwatch-relog-intlg-amazfit-gtr-rzlg37853" TargetMode="External" Id="rId163"/><Relationship Type="http://schemas.openxmlformats.org/officeDocument/2006/relationships/hyperlink" Target="https://lista.mercadolivre.com.br/smartwatch-relog-intlg-amazfit-bip-jicd68831" TargetMode="External" Id="rId164"/><Relationship Type="http://schemas.openxmlformats.org/officeDocument/2006/relationships/hyperlink" Target="https://lista.mercadolivre.com.br/smartwatch-relog-intlg-amazfit-bip-nwlr66137" TargetMode="External" Id="rId165"/><Relationship Type="http://schemas.openxmlformats.org/officeDocument/2006/relationships/hyperlink" Target="https://lista.mercadolivre.com.br/smartwatch-relog-intlg-amazfit-bip-mmdq24439" TargetMode="External" Id="rId166"/><Relationship Type="http://schemas.openxmlformats.org/officeDocument/2006/relationships/hyperlink" Target="https://lista.mercadolivre.com.br/smartwatch-relog-intlg-amazfit-bip-pzom24795" TargetMode="External" Id="rId167"/><Relationship Type="http://schemas.openxmlformats.org/officeDocument/2006/relationships/hyperlink" Target="https://lista.mercadolivre.com.br/suporte-celular-hohem-isteady-mobile-dshr80033" TargetMode="External" Id="rId168"/><Relationship Type="http://schemas.openxmlformats.org/officeDocument/2006/relationships/hyperlink" Target="https://lista.mercadolivre.com.br/gps-lucky-ff1108-1cwla-kzpg72035" TargetMode="External" Id="rId169"/><Relationship Type="http://schemas.openxmlformats.org/officeDocument/2006/relationships/hyperlink" Target="https://lista.mercadolivre.com.br/suporte-celular-hohem-isteady-mobile-dshr80033" TargetMode="External" Id="rId170"/><Relationship Type="http://schemas.openxmlformats.org/officeDocument/2006/relationships/hyperlink" Target="https://lista.mercadolivre.com.br/modulador-fm-moduldaor-isdb-ov935436855br" TargetMode="External" Id="rId171"/><Relationship Type="http://schemas.openxmlformats.org/officeDocument/2006/relationships/hyperlink" Target="https://lista.mercadolivre.com.br/smartwatch-relog-intlg-haylou-rs5-ls1923qw431508317" TargetMode="External" Id="rId172"/><Relationship Type="http://schemas.openxmlformats.org/officeDocument/2006/relationships/hyperlink" Target="https://lista.mercadolivre.com.br/drone-radiocontrolado-lyzrc-hkkh03343" TargetMode="External" Id="rId173"/><Relationship Type="http://schemas.openxmlformats.org/officeDocument/2006/relationships/hyperlink" Target="https://lista.mercadolivre.com.br/smartwatch-relog-intlg-wearfit-pro-series" TargetMode="External" Id="rId174"/><Relationship Type="http://schemas.openxmlformats.org/officeDocument/2006/relationships/hyperlink" Target="https://lista.mercadolivre.com.br/smartwatch-relog-intlg-gl08-smart-watch" TargetMode="External" Id="rId175"/><Relationship Type="http://schemas.openxmlformats.org/officeDocument/2006/relationships/hyperlink" Target="https://lista.mercadolivre.com.br/smartwatch-relog-intlg-hiwatch-plus-gl09" TargetMode="External" Id="rId176"/></Relationships>
</file>

<file path=xl/worksheets/_rels/sheet10.xml.rels><Relationships xmlns="http://schemas.openxmlformats.org/package/2006/relationships"><Relationship Type="http://schemas.openxmlformats.org/officeDocument/2006/relationships/hyperlink" Target="https://lista.mercadolivre.com.br/patinete-eletrico-hawk-hw01-usado" TargetMode="External" Id="rId1"/><Relationship Type="http://schemas.openxmlformats.org/officeDocument/2006/relationships/hyperlink" Target="https://lista.mercadolivre.com.br/patinete-eletrico-hawk-hw01-pro" TargetMode="External" Id="rId2"/><Relationship Type="http://schemas.openxmlformats.org/officeDocument/2006/relationships/hyperlink" Target="https://lista.mercadolivre.com.br/patinete-eletrico-wehawk-hw01-usado" TargetMode="External" Id="rId3"/><Relationship Type="http://schemas.openxmlformats.org/officeDocument/2006/relationships/hyperlink" Target="https://lista.mercadolivre.com.br/magene-t300-usado" TargetMode="External" Id="rId4"/><Relationship Type="http://schemas.openxmlformats.org/officeDocument/2006/relationships/hyperlink" Target="https://lista.mercadolivre.com.br/ninebot-kickscooter-max-g30p-usado" TargetMode="External" Id="rId5"/><Relationship Type="http://schemas.openxmlformats.org/officeDocument/2006/relationships/hyperlink" Target="https://lista.mercadolivre.com.br/patinete-eletrico-tomate-mpe" TargetMode="External" Id="rId6"/><Relationship Type="http://schemas.openxmlformats.org/officeDocument/2006/relationships/hyperlink" Target="https://lista.mercadolivre.com.br/patinete-eletrico-tomate-mpe" TargetMode="External" Id="rId7"/><Relationship Type="http://schemas.openxmlformats.org/officeDocument/2006/relationships/hyperlink" Target="https://lista.mercadolivre.com.br/scooter-eletrico-roller" TargetMode="External" Id="rId8"/><Relationship Type="http://schemas.openxmlformats.org/officeDocument/2006/relationships/hyperlink" Target="https://lista.mercadolivre.com.br/hoverboard-interbras-drift-tricycle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lista.mercadolivre.com.br/auto-refrator-oftalmologico-usado" TargetMode="External" Id="rId1"/><Relationship Type="http://schemas.openxmlformats.org/officeDocument/2006/relationships/hyperlink" Target="https://lista.mercadolivre.com.br/estetoscopio-littmann-classic-iii-usado" TargetMode="External" Id="rId2"/><Relationship Type="http://schemas.openxmlformats.org/officeDocument/2006/relationships/hyperlink" Target="https://lista.mercadolivre.com.br/ultrassom-butterfly-iq-usado" TargetMode="External" Id="rId3"/><Relationship Type="http://schemas.openxmlformats.org/officeDocument/2006/relationships/hyperlink" Target="https://lista.mercadolivre.com.br/espirometro-contec-sp80b-usado" TargetMode="External" Id="rId4"/><Relationship Type="http://schemas.openxmlformats.org/officeDocument/2006/relationships/hyperlink" Target="https://lista.mercadolivre.com.br/espirometro-contec-sp80b-usado" TargetMode="External" Id="rId5"/><Relationship Type="http://schemas.openxmlformats.org/officeDocument/2006/relationships/hyperlink" Target="https://lista.mercadolivre.com.br/raio-x-odontologico-portatil-usado" TargetMode="External" Id="rId6"/><Relationship Type="http://schemas.openxmlformats.org/officeDocument/2006/relationships/hyperlink" Target="https://lista.mercadolivre.com.br/instrumento-medico-sofiderm-20ml" TargetMode="External" Id="rId7"/><Relationship Type="http://schemas.openxmlformats.org/officeDocument/2006/relationships/hyperlink" Target="https://lista.mercadolivre.com.br/aparelho-medico-contec-sp80b-espirometro-pseo67919" TargetMode="External" Id="rId8"/><Relationship Type="http://schemas.openxmlformats.org/officeDocument/2006/relationships/hyperlink" Target="https://lista.mercadolivre.com.br/aparelho-medico-contec-spirometer-sp80b-pseo67919" TargetMode="External" Id="rId9"/><Relationship Type="http://schemas.openxmlformats.org/officeDocument/2006/relationships/hyperlink" Target="https://lista.mercadolivre.com.br/osciloscopio-fnirsi-1013d-oqnf39639" TargetMode="External" Id="rId10"/><Relationship Type="http://schemas.openxmlformats.org/officeDocument/2006/relationships/hyperlink" Target="https://lista.mercadolivre.com.br/luva-robotica-ortopedica-portable-hand-trainer" TargetMode="External" Id="rId11"/><Relationship Type="http://schemas.openxmlformats.org/officeDocument/2006/relationships/hyperlink" Target="https://lista.mercadolivre.com.br/estetoscopio-3m-kittmann-classic-iii" TargetMode="External" Id="rId12"/><Relationship Type="http://schemas.openxmlformats.org/officeDocument/2006/relationships/hyperlink" Target="https://lista.mercadolivre.com.br/estetoscopio-3m-littmann-classic-iii" TargetMode="External" Id="rId13"/><Relationship Type="http://schemas.openxmlformats.org/officeDocument/2006/relationships/hyperlink" Target="https://lista.mercadolivre.com.br/osciloscopio-hantek-1008c-dtco16554-nccn2336005081226" TargetMode="External" Id="rId14"/><Relationship Type="http://schemas.openxmlformats.org/officeDocument/2006/relationships/hyperlink" Target="https://lista.mercadolivre.com.br/osciloscopio-automotivo-hantek-1008c-cfzr99525-cn2335005080216" TargetMode="External" Id="rId15"/><Relationship Type="http://schemas.openxmlformats.org/officeDocument/2006/relationships/hyperlink" Target="https://lista.mercadolivre.com.br/monitor-ritmo-cardiaco-sensor-optico-frequencia" TargetMode="External" Id="rId16"/><Relationship Type="http://schemas.openxmlformats.org/officeDocument/2006/relationships/hyperlink" Target="https://lista.mercadolivre.com.br/instrumento-medico-regenbogen-etrebelle-200mg-preenchimento" TargetMode="External" Id="rId17"/><Relationship Type="http://schemas.openxmlformats.org/officeDocument/2006/relationships/hyperlink" Target="https://lista.mercadolivre.com.br/microscopio-portable-lcd-microscope-g1200-qmas69014" TargetMode="External" Id="rId18"/><Relationship Type="http://schemas.openxmlformats.org/officeDocument/2006/relationships/hyperlink" Target="https://lista.mercadolivre.com.br/aparelho-medico-ultrassom-ru-638-beauty" TargetMode="External" Id="rId19"/><Relationship Type="http://schemas.openxmlformats.org/officeDocument/2006/relationships/hyperlink" Target="https://lista.mercadolivre.com.br/instrumento-medico-y2-skin-line-lift" TargetMode="External" Id="rId20"/><Relationship Type="http://schemas.openxmlformats.org/officeDocument/2006/relationships/hyperlink" Target="https://lista.mercadolivre.com.br/termometro-uni-pro-uni260b-ati0224022997" TargetMode="External" Id="rId21"/><Relationship Type="http://schemas.openxmlformats.org/officeDocument/2006/relationships/hyperlink" Target="https://lista.mercadolivre.com.br/termometro-mestek-ir03b" TargetMode="External" Id="rId22"/><Relationship Type="http://schemas.openxmlformats.org/officeDocument/2006/relationships/hyperlink" Target="https://lista.mercadolivre.com.br/microscopio-led-light-yizhan-aco-articulado" TargetMode="External" Id="rId23"/><Relationship Type="http://schemas.openxmlformats.org/officeDocument/2006/relationships/hyperlink" Target="https://lista.mercadolivre.com.br/monitor-ritmo-cardiaco-xoss-x2" TargetMode="External" Id="rId24"/><Relationship Type="http://schemas.openxmlformats.org/officeDocument/2006/relationships/hyperlink" Target="https://lista.mercadolivre.com.br/microscopio-digital-microscope" TargetMode="External" Id="rId25"/><Relationship Type="http://schemas.openxmlformats.org/officeDocument/2006/relationships/hyperlink" Target="https://lista.mercadolivre.com.br/aparelho-medico-wd-638-yfab41714" TargetMode="External" Id="rId26"/><Relationship Type="http://schemas.openxmlformats.org/officeDocument/2006/relationships/hyperlink" Target="https://lista.mercadolivre.com.br/aparelho-medico-wd-628-yfab41714" TargetMode="External" Id="rId27"/><Relationship Type="http://schemas.openxmlformats.org/officeDocument/2006/relationships/hyperlink" Target="https://lista.mercadolivre.com.br/instrumento-medico-y2-skin-line-lift" TargetMode="External" Id="rId28"/></Relationships>
</file>

<file path=xl/worksheets/_rels/sheet12.xml.rels><Relationships xmlns="http://schemas.openxmlformats.org/package/2006/relationships"><Relationship Type="http://schemas.openxmlformats.org/officeDocument/2006/relationships/hyperlink" Target="https://lista.mercadolivre.com.br/scanner-automotivo-launch-x431-pro-elite" TargetMode="External" Id="rId1"/><Relationship Type="http://schemas.openxmlformats.org/officeDocument/2006/relationships/hyperlink" Target="https://lista.mercadolivre.com.br/central-multimidia-android-usado" TargetMode="External" Id="rId2"/><Relationship Type="http://schemas.openxmlformats.org/officeDocument/2006/relationships/hyperlink" Target="https://lista.mercadolivre.com.br/motor-eletrico-maruri-54-lbs" TargetMode="External" Id="rId3"/><Relationship Type="http://schemas.openxmlformats.org/officeDocument/2006/relationships/hyperlink" Target="https://lista.mercadolivre.com.br/motor-eletrico-maruri-54-lbs" TargetMode="External" Id="rId4"/><Relationship Type="http://schemas.openxmlformats.org/officeDocument/2006/relationships/hyperlink" Target="https://lista.mercadolivre.com.br/central-multimidia-adak-play-7232" TargetMode="External" Id="rId5"/><Relationship Type="http://schemas.openxmlformats.org/officeDocument/2006/relationships/hyperlink" Target="https://lista.mercadolivre.com.br/compressor-de-ar-xiaomi-1s" TargetMode="External" Id="rId6"/><Relationship Type="http://schemas.openxmlformats.org/officeDocument/2006/relationships/hyperlink" Target="https://lista.mercadolivre.com.br/xtool-x100-pro2" TargetMode="External" Id="rId7"/><Relationship Type="http://schemas.openxmlformats.org/officeDocument/2006/relationships/hyperlink" Target="https://lista.mercadolivre.com.br/partes-pecas-veiculos-jogo-bronzina-biela" TargetMode="External" Id="rId8"/><Relationship Type="http://schemas.openxmlformats.org/officeDocument/2006/relationships/hyperlink" Target="https://lista.mercadolivre.com.br/central-multimidia-adak-play-7232" TargetMode="External" Id="rId9"/><Relationship Type="http://schemas.openxmlformats.org/officeDocument/2006/relationships/hyperlink" Target="https://lista.mercadolivre.com.br/gps-garmin-edge-830-5vy198825" TargetMode="External" Id="rId10"/><Relationship Type="http://schemas.openxmlformats.org/officeDocument/2006/relationships/hyperlink" Target="https://lista.mercadolivre.com.br/gps-garmin-edge-830-5vy198791" TargetMode="External" Id="rId11"/><Relationship Type="http://schemas.openxmlformats.org/officeDocument/2006/relationships/hyperlink" Target="https://lista.mercadolivre.com.br/central-multmidia-carro" TargetMode="External" Id="rId12"/><Relationship Type="http://schemas.openxmlformats.org/officeDocument/2006/relationships/hyperlink" Target="https://lista.mercadolivre.com.br/sonar-garmin-striker-vivid-6sq113282" TargetMode="External" Id="rId13"/><Relationship Type="http://schemas.openxmlformats.org/officeDocument/2006/relationships/hyperlink" Target="https://lista.mercadolivre.com.br/sonar-garmin-striker-vivid-6sq113279" TargetMode="External" Id="rId14"/><Relationship Type="http://schemas.openxmlformats.org/officeDocument/2006/relationships/hyperlink" Target="https://lista.mercadolivre.com.br/gps-garmin-edge-830-5vy198813" TargetMode="External" Id="rId15"/><Relationship Type="http://schemas.openxmlformats.org/officeDocument/2006/relationships/hyperlink" Target="https://lista.mercadolivre.com.br/acess-veiculo-velhicle-blackbox-dvr-full" TargetMode="External" Id="rId16"/><Relationship Type="http://schemas.openxmlformats.org/officeDocument/2006/relationships/hyperlink" Target="https://lista.mercadolivre.com.br/central-multimidia-adak-play-7232" TargetMode="External" Id="rId17"/><Relationship Type="http://schemas.openxmlformats.org/officeDocument/2006/relationships/hyperlink" Target="https://lista.mercadolivre.com.br/central-multmidia-carro-pioneer-avh-z5280tv" TargetMode="External" Id="rId18"/><Relationship Type="http://schemas.openxmlformats.org/officeDocument/2006/relationships/hyperlink" Target="https://lista.mercadolivre.com.br/sonar-garmin-striker-vivid-6sq113284" TargetMode="External" Id="rId19"/><Relationship Type="http://schemas.openxmlformats.org/officeDocument/2006/relationships/hyperlink" Target="https://lista.mercadolivre.com.br/motor-embarcacao-marine-phantom-44-12v" TargetMode="External" Id="rId20"/><Relationship Type="http://schemas.openxmlformats.org/officeDocument/2006/relationships/hyperlink" Target="https://lista.mercadolivre.com.br/carregador-bateria-utrai-js-in-auxiliar" TargetMode="External" Id="rId21"/><Relationship Type="http://schemas.openxmlformats.org/officeDocument/2006/relationships/hyperlink" Target="https://lista.mercadolivre.com.br/scanner-thinkcar-thinkscan-plus-s7-automotivo" TargetMode="External" Id="rId22"/><Relationship Type="http://schemas.openxmlformats.org/officeDocument/2006/relationships/hyperlink" Target="https://lista.mercadolivre.com.br/scanner-foxwell-nt650-elite-ddfl40905-650e3ef003631" TargetMode="External" Id="rId23"/><Relationship Type="http://schemas.openxmlformats.org/officeDocument/2006/relationships/hyperlink" Target="https://lista.mercadolivre.com.br/scanner-foxwell-nt650-elite-ddfl40905-650e33a003107" TargetMode="External" Id="rId24"/><Relationship Type="http://schemas.openxmlformats.org/officeDocument/2006/relationships/hyperlink" Target="https://lista.mercadolivre.com.br/scanner-foxwell-nt650-elite-ddfl40905-650e314002377" TargetMode="External" Id="rId25"/><Relationship Type="http://schemas.openxmlformats.org/officeDocument/2006/relationships/hyperlink" Target="https://lista.mercadolivre.com.br/central-multmidia-carro-motor-one-m1" TargetMode="External" Id="rId26"/><Relationship Type="http://schemas.openxmlformats.org/officeDocument/2006/relationships/hyperlink" Target="https://lista.mercadolivre.com.br/scanner-foxwell-nt360-plus-zzfu40663" TargetMode="External" Id="rId27"/><Relationship Type="http://schemas.openxmlformats.org/officeDocument/2006/relationships/hyperlink" Target="https://lista.mercadolivre.com.br/roda-veiculo-rcx-t5080570410mk-usada" TargetMode="External" Id="rId28"/><Relationship Type="http://schemas.openxmlformats.org/officeDocument/2006/relationships/hyperlink" Target="https://lista.mercadolivre.com.br/scanner-vident-702-pro" TargetMode="External" Id="rId29"/><Relationship Type="http://schemas.openxmlformats.org/officeDocument/2006/relationships/hyperlink" Target="https://lista.mercadolivre.com.br/scanner-automotivo-foxwell-nt630-plus-fuwm75443" TargetMode="External" Id="rId30"/><Relationship Type="http://schemas.openxmlformats.org/officeDocument/2006/relationships/hyperlink" Target="https://lista.mercadolivre.com.br/gps-garmin-edge-530-5vv293612" TargetMode="External" Id="rId31"/><Relationship Type="http://schemas.openxmlformats.org/officeDocument/2006/relationships/hyperlink" Target="https://lista.mercadolivre.com.br/gps-garmin-edge-530-5vv293912" TargetMode="External" Id="rId32"/><Relationship Type="http://schemas.openxmlformats.org/officeDocument/2006/relationships/hyperlink" Target="https://lista.mercadolivre.com.br/scanner-thinkcar-thinkdiag-automotivo" TargetMode="External" Id="rId33"/><Relationship Type="http://schemas.openxmlformats.org/officeDocument/2006/relationships/hyperlink" Target="https://lista.mercadolivre.com.br/scanner-trinkcar-thinkdiag-veicular" TargetMode="External" Id="rId34"/><Relationship Type="http://schemas.openxmlformats.org/officeDocument/2006/relationships/hyperlink" Target="https://lista.mercadolivre.com.br/scanner-thinkcar-thinkdiag-veiculo" TargetMode="External" Id="rId35"/><Relationship Type="http://schemas.openxmlformats.org/officeDocument/2006/relationships/hyperlink" Target="https://lista.mercadolivre.com.br/scanner-thinkcar-thinkdiag-veiculo" TargetMode="External" Id="rId36"/><Relationship Type="http://schemas.openxmlformats.org/officeDocument/2006/relationships/hyperlink" Target="https://lista.mercadolivre.com.br/scanner-xhinkcar-thinkcan-plus-veicular" TargetMode="External" Id="rId37"/><Relationship Type="http://schemas.openxmlformats.org/officeDocument/2006/relationships/hyperlink" Target="https://lista.mercadolivre.com.br/scanner-xhinkcar-thinkcan-plus-veicular" TargetMode="External" Id="rId38"/><Relationship Type="http://schemas.openxmlformats.org/officeDocument/2006/relationships/hyperlink" Target="https://lista.mercadolivre.com.br/volante-carro-volante-motor-chevrolet-colorado" TargetMode="External" Id="rId39"/><Relationship Type="http://schemas.openxmlformats.org/officeDocument/2006/relationships/hyperlink" Target="https://lista.mercadolivre.com.br/sonar-garmin-gt21-5f4521098" TargetMode="External" Id="rId40"/><Relationship Type="http://schemas.openxmlformats.org/officeDocument/2006/relationships/hyperlink" Target="https://lista.mercadolivre.com.br/sonar-garmin-gt21-5f4521131" TargetMode="External" Id="rId41"/><Relationship Type="http://schemas.openxmlformats.org/officeDocument/2006/relationships/hyperlink" Target="https://lista.mercadolivre.com.br/sonar-garmin-gt21-5f4521154" TargetMode="External" Id="rId42"/><Relationship Type="http://schemas.openxmlformats.org/officeDocument/2006/relationships/hyperlink" Target="https://lista.mercadolivre.com.br/osciloscopio-hantek-1008c-automotivo-cn2336005081091" TargetMode="External" Id="rId43"/><Relationship Type="http://schemas.openxmlformats.org/officeDocument/2006/relationships/hyperlink" Target="https://lista.mercadolivre.com.br/gps-sonar-garmin-striker" TargetMode="External" Id="rId44"/><Relationship Type="http://schemas.openxmlformats.org/officeDocument/2006/relationships/hyperlink" Target="https://lista.mercadolivre.com.br/scanner-foxwell-nt630-plus-zzfu40663-630p30f004520" TargetMode="External" Id="rId45"/><Relationship Type="http://schemas.openxmlformats.org/officeDocument/2006/relationships/hyperlink" Target="https://lista.mercadolivre.com.br/scanner-foxwell-nt630-plus-zzfu40663-630p3cd007842" TargetMode="External" Id="rId46"/><Relationship Type="http://schemas.openxmlformats.org/officeDocument/2006/relationships/hyperlink" Target="https://lista.mercadolivre.com.br/scanner-foxwell-nt630-plus-zzfu40663-630p31a004469" TargetMode="External" Id="rId47"/><Relationship Type="http://schemas.openxmlformats.org/officeDocument/2006/relationships/hyperlink" Target="https://lista.mercadolivre.com.br/scanner-foxwell-nt630-plus-zzfu40663-630p37e001184" TargetMode="External" Id="rId48"/><Relationship Type="http://schemas.openxmlformats.org/officeDocument/2006/relationships/hyperlink" Target="https://lista.mercadolivre.com.br/central-multmidia-carro-adak-std" TargetMode="External" Id="rId49"/><Relationship Type="http://schemas.openxmlformats.org/officeDocument/2006/relationships/hyperlink" Target="https://lista.mercadolivre.com.br/central-multmidia-carro-adak-std" TargetMode="External" Id="rId50"/><Relationship Type="http://schemas.openxmlformats.org/officeDocument/2006/relationships/hyperlink" Target="https://lista.mercadolivre.com.br/scanner-thinkcar-thinkdiag-mini-automotivo" TargetMode="External" Id="rId51"/><Relationship Type="http://schemas.openxmlformats.org/officeDocument/2006/relationships/hyperlink" Target="https://lista.mercadolivre.com.br/scanner-thinkdiag-mini-tkd02-automotivo" TargetMode="External" Id="rId52"/><Relationship Type="http://schemas.openxmlformats.org/officeDocument/2006/relationships/hyperlink" Target="https://lista.mercadolivre.com.br/partes-pecas-motor-barc-garmin-transducer" TargetMode="External" Id="rId53"/><Relationship Type="http://schemas.openxmlformats.org/officeDocument/2006/relationships/hyperlink" Target="https://lista.mercadolivre.com.br/amortecedor-besta-gs-98-dt" TargetMode="External" Id="rId54"/><Relationship Type="http://schemas.openxmlformats.org/officeDocument/2006/relationships/hyperlink" Target="https://lista.mercadolivre.com.br/scanner-eyoyo-ey-024-qq021405607br" TargetMode="External" Id="rId55"/><Relationship Type="http://schemas.openxmlformats.org/officeDocument/2006/relationships/hyperlink" Target="https://lista.mercadolivre.com.br/central-multmidia-carro-android-player" TargetMode="External" Id="rId56"/><Relationship Type="http://schemas.openxmlformats.org/officeDocument/2006/relationships/hyperlink" Target="https://lista.mercadolivre.com.br/central-multmidia-carro" TargetMode="External" Id="rId57"/><Relationship Type="http://schemas.openxmlformats.org/officeDocument/2006/relationships/hyperlink" Target="https://lista.mercadolivre.com.br/central-multmidia-carro-soak-909t" TargetMode="External" Id="rId58"/><Relationship Type="http://schemas.openxmlformats.org/officeDocument/2006/relationships/hyperlink" Target="https://lista.mercadolivre.com.br/central-mutimidia-adak-play" TargetMode="External" Id="rId59"/><Relationship Type="http://schemas.openxmlformats.org/officeDocument/2006/relationships/hyperlink" Target="https://lista.mercadolivre.com.br/bomba-porao-3700gph" TargetMode="External" Id="rId60"/><Relationship Type="http://schemas.openxmlformats.org/officeDocument/2006/relationships/hyperlink" Target="https://lista.mercadolivre.com.br/disco-embreagem-sachs" TargetMode="External" Id="rId61"/><Relationship Type="http://schemas.openxmlformats.org/officeDocument/2006/relationships/hyperlink" Target="https://lista.mercadolivre.com.br/partes-pecas-veiculos-genuine-gm-gr" TargetMode="External" Id="rId62"/><Relationship Type="http://schemas.openxmlformats.org/officeDocument/2006/relationships/hyperlink" Target="https://lista.mercadolivre.com.br/farol-veiculo-corolla-premio-fog-light" TargetMode="External" Id="rId63"/><Relationship Type="http://schemas.openxmlformats.org/officeDocument/2006/relationships/hyperlink" Target="https://lista.mercadolivre.com.br/partes-pecas-automovel-parabrisa-traseiro-4t8827631" TargetMode="External" Id="rId64"/><Relationship Type="http://schemas.openxmlformats.org/officeDocument/2006/relationships/hyperlink" Target="https://lista.mercadolivre.com.br/correias-heidelberg" TargetMode="External" Id="rId65"/><Relationship Type="http://schemas.openxmlformats.org/officeDocument/2006/relationships/hyperlink" Target="https://lista.mercadolivre.com.br/bloco-colmeia-radiador-oleo" TargetMode="External" Id="rId66"/><Relationship Type="http://schemas.openxmlformats.org/officeDocument/2006/relationships/hyperlink" Target="https://lista.mercadolivre.com.br/partes-pecas-veiculos-capo-modificado" TargetMode="External" Id="rId67"/><Relationship Type="http://schemas.openxmlformats.org/officeDocument/2006/relationships/hyperlink" Target="https://lista.mercadolivre.com.br/partes-pecas-motor-barc-radar-marinho" TargetMode="External" Id="rId68"/><Relationship Type="http://schemas.openxmlformats.org/officeDocument/2006/relationships/hyperlink" Target="https://lista.mercadolivre.com.br/partes-pecas-moto-roda-traseira-pneu" TargetMode="External" Id="rId69"/><Relationship Type="http://schemas.openxmlformats.org/officeDocument/2006/relationships/hyperlink" Target="https://lista.mercadolivre.com.br/kit-multimidia-moldura-central-elantra" TargetMode="External" Id="rId70"/><Relationship Type="http://schemas.openxmlformats.org/officeDocument/2006/relationships/hyperlink" Target="https://lista.mercadolivre.com.br/partes-pecas-veiculos-jogo-bronzina-bg" TargetMode="External" Id="rId71"/><Relationship Type="http://schemas.openxmlformats.org/officeDocument/2006/relationships/hyperlink" Target="https://lista.mercadolivre.com.br/partes-pecas-automovel" TargetMode="External" Id="rId72"/><Relationship Type="http://schemas.openxmlformats.org/officeDocument/2006/relationships/hyperlink" Target="https://lista.mercadolivre.com.br/partes-pecas-automovel-p213-rolamento-travesseiro" TargetMode="External" Id="rId73"/><Relationship Type="http://schemas.openxmlformats.org/officeDocument/2006/relationships/hyperlink" Target="https://lista.mercadolivre.com.br/partes-pecas-automovel-amortecedor" TargetMode="External" Id="rId74"/><Relationship Type="http://schemas.openxmlformats.org/officeDocument/2006/relationships/hyperlink" Target="https://lista.mercadolivre.com.br/partes-pecas-veiculos-ov382218668br" TargetMode="External" Id="rId75"/><Relationship Type="http://schemas.openxmlformats.org/officeDocument/2006/relationships/hyperlink" Target="https://lista.mercadolivre.com.br/partes-pecas-automovel-pastilha-freio-ov379844199br" TargetMode="External" Id="rId76"/><Relationship Type="http://schemas.openxmlformats.org/officeDocument/2006/relationships/hyperlink" Target="https://lista.mercadolivre.com.br/partes-pecas-automovel-junta-balancim-ov379844199br" TargetMode="External" Id="rId77"/><Relationship Type="http://schemas.openxmlformats.org/officeDocument/2006/relationships/hyperlink" Target="https://lista.mercadolivre.com.br/partes-pecas-veiculos-kit-batente-coifa" TargetMode="External" Id="rId78"/><Relationship Type="http://schemas.openxmlformats.org/officeDocument/2006/relationships/hyperlink" Target="https://lista.mercadolivre.com.br/partes-pecas-automovel" TargetMode="External" Id="rId79"/><Relationship Type="http://schemas.openxmlformats.org/officeDocument/2006/relationships/hyperlink" Target="https://lista.mercadolivre.com.br/partes-pecas-veiculos-bieleta-xterra-ld" TargetMode="External" Id="rId80"/><Relationship Type="http://schemas.openxmlformats.org/officeDocument/2006/relationships/hyperlink" Target="https://lista.mercadolivre.com.br/partes-pecas-veiculos-coxim-amort-bmw" TargetMode="External" Id="rId81"/><Relationship Type="http://schemas.openxmlformats.org/officeDocument/2006/relationships/hyperlink" Target="https://lista.mercadolivre.com.br/partes-pecas-veiculos-bucha-est-sel" TargetMode="External" Id="rId82"/><Relationship Type="http://schemas.openxmlformats.org/officeDocument/2006/relationships/hyperlink" Target="https://lista.mercadolivre.com.br/partes-pecas-automovel" TargetMode="External" Id="rId83"/><Relationship Type="http://schemas.openxmlformats.org/officeDocument/2006/relationships/hyperlink" Target="https://lista.mercadolivre.com.br/partes-pecas-automovel-painel-dianteiro" TargetMode="External" Id="rId84"/><Relationship Type="http://schemas.openxmlformats.org/officeDocument/2006/relationships/hyperlink" Target="https://lista.mercadolivre.com.br/amortecedor-par" TargetMode="External" Id="rId85"/><Relationship Type="http://schemas.openxmlformats.org/officeDocument/2006/relationships/hyperlink" Target="https://lista.mercadolivre.com.br/correias-caminhao-8pk2020" TargetMode="External" Id="rId86"/><Relationship Type="http://schemas.openxmlformats.org/officeDocument/2006/relationships/hyperlink" Target="https://lista.mercadolivre.com.br/correias-caminhao-gates-8pk2225hd" TargetMode="External" Id="rId87"/><Relationship Type="http://schemas.openxmlformats.org/officeDocument/2006/relationships/hyperlink" Target="https://lista.mercadolivre.com.br/partes-pecas-motor-barc-maruri-helice" TargetMode="External" Id="rId88"/><Relationship Type="http://schemas.openxmlformats.org/officeDocument/2006/relationships/hyperlink" Target="https://lista.mercadolivre.com.br/partes-pecas-motor-barc-maruri-trolling" TargetMode="External" Id="rId89"/><Relationship Type="http://schemas.openxmlformats.org/officeDocument/2006/relationships/hyperlink" Target="https://lista.mercadolivre.com.br/partes-pecas-motor-barc-maruri-hp8" TargetMode="External" Id="rId90"/></Relationships>
</file>

<file path=xl/worksheets/_rels/sheet13.xml.rels><Relationships xmlns="http://schemas.openxmlformats.org/package/2006/relationships"><Relationship Type="http://schemas.openxmlformats.org/officeDocument/2006/relationships/hyperlink" Target="https://lista.mercadolivre.com.br/maquina-laser-co2-rdc6445s" TargetMode="External" Id="rId1"/><Relationship Type="http://schemas.openxmlformats.org/officeDocument/2006/relationships/hyperlink" Target="https://lista.mercadolivre.com.br/tbk-958a-laser" TargetMode="External" Id="rId2"/><Relationship Type="http://schemas.openxmlformats.org/officeDocument/2006/relationships/hyperlink" Target="https://lista.mercadolivre.com.br/moedor-de-carne-botini-b09" TargetMode="External" Id="rId3"/><Relationship Type="http://schemas.openxmlformats.org/officeDocument/2006/relationships/hyperlink" Target="https://www.mercadolivre.com.br/robo-aspirador-xiaomi-robot-vacuum-x20-plus-branco/p/MLB37471382" TargetMode="External" Id="rId4"/><Relationship Type="http://schemas.openxmlformats.org/officeDocument/2006/relationships/hyperlink" Target="https://www.mercadolivre.com.br/robo-aspirador-xiaomi-robot-vacuum-x20-plus-branco/p/MLB37471382" TargetMode="External" Id="rId5"/><Relationship Type="http://schemas.openxmlformats.org/officeDocument/2006/relationships/hyperlink" Target="https://www.mercadolivre.com.br/robo-aspirador-xiaomi-robot-vacuum-x20-plus-branco/p/MLB37471382" TargetMode="External" Id="rId6"/><Relationship Type="http://schemas.openxmlformats.org/officeDocument/2006/relationships/hyperlink" Target="https://lista.mercadolivre.com.br/clipadeira-hidraulica-royce-connect" TargetMode="External" Id="rId7"/><Relationship Type="http://schemas.openxmlformats.org/officeDocument/2006/relationships/hyperlink" Target="https://lista.mercadolivre.com.br/ferramenta-eletronica-tuoli-tl168" TargetMode="External" Id="rId8"/><Relationship Type="http://schemas.openxmlformats.org/officeDocument/2006/relationships/hyperlink" Target="https://lista.mercadolivre.com.br/ferramenta-eletrica-tuoli-tl-168-corte" TargetMode="External" Id="rId9"/><Relationship Type="http://schemas.openxmlformats.org/officeDocument/2006/relationships/hyperlink" Target="https://lista.mercadolivre.com.br/estacao-retrabalho-smd-atten-st862d" TargetMode="External" Id="rId10"/><Relationship Type="http://schemas.openxmlformats.org/officeDocument/2006/relationships/hyperlink" Target="https://lista.mercadolivre.com.br/aspirador-po-mi-robot-vacuum-s10" TargetMode="External" Id="rId11"/><Relationship Type="http://schemas.openxmlformats.org/officeDocument/2006/relationships/hyperlink" Target="https://lista.mercadolivre.com.br/aspirador-po-mi-robot-vacuum-s10" TargetMode="External" Id="rId12"/><Relationship Type="http://schemas.openxmlformats.org/officeDocument/2006/relationships/hyperlink" Target="https://lista.mercadolivre.com.br/aspirador-po-mi-robot-vacuum-s10" TargetMode="External" Id="rId13"/><Relationship Type="http://schemas.openxmlformats.org/officeDocument/2006/relationships/hyperlink" Target="https://lista.mercadolivre.com.br/ferramenta-eletrica-bomba-vacuo-suryha-023" TargetMode="External" Id="rId14"/><Relationship Type="http://schemas.openxmlformats.org/officeDocument/2006/relationships/hyperlink" Target="https://lista.mercadolivre.com.br/painel-led-makka-light-50x100" TargetMode="External" Id="rId15"/><Relationship Type="http://schemas.openxmlformats.org/officeDocument/2006/relationships/hyperlink" Target="https://lista.mercadolivre.com.br/mixer-robot-coupe-mini-mp-190" TargetMode="External" Id="rId16"/><Relationship Type="http://schemas.openxmlformats.org/officeDocument/2006/relationships/hyperlink" Target="https://lista.mercadolivre.com.br/liquidificador-robot-coupe-mini-mp-190" TargetMode="External" Id="rId17"/><Relationship Type="http://schemas.openxmlformats.org/officeDocument/2006/relationships/hyperlink" Target="https://lista.mercadolivre.com.br/aspirador-po-mi-robot-vacuum-x10" TargetMode="External" Id="rId18"/><Relationship Type="http://schemas.openxmlformats.org/officeDocument/2006/relationships/hyperlink" Target="https://lista.mercadolivre.com.br/ferramenta-eletrica-nasan-na-vr1" TargetMode="External" Id="rId19"/><Relationship Type="http://schemas.openxmlformats.org/officeDocument/2006/relationships/hyperlink" Target="https://lista.mercadolivre.com.br/ferramenta-eletrica-bomba-vacuo-suryha-018" TargetMode="External" Id="rId20"/><Relationship Type="http://schemas.openxmlformats.org/officeDocument/2006/relationships/hyperlink" Target="https://lista.mercadolivre.com.br/aspirador-po-mi-robot-vacuum-s10" TargetMode="External" Id="rId21"/><Relationship Type="http://schemas.openxmlformats.org/officeDocument/2006/relationships/hyperlink" Target="https://lista.mercadolivre.com.br/aspirador-po-mi-robot-vacuum-s10" TargetMode="External" Id="rId22"/><Relationship Type="http://schemas.openxmlformats.org/officeDocument/2006/relationships/hyperlink" Target="https://lista.mercadolivre.com.br/aspirador-po-mi-robot-vacuum-s10" TargetMode="External" Id="rId23"/><Relationship Type="http://schemas.openxmlformats.org/officeDocument/2006/relationships/hyperlink" Target="https://lista.mercadolivre.com.br/aspirador-po-mi-robot-vacuum-s10" TargetMode="External" Id="rId24"/><Relationship Type="http://schemas.openxmlformats.org/officeDocument/2006/relationships/hyperlink" Target="https://lista.mercadolivre.com.br/aspirador-po-mi-robot-vaccum-s10" TargetMode="External" Id="rId25"/><Relationship Type="http://schemas.openxmlformats.org/officeDocument/2006/relationships/hyperlink" Target="https://lista.mercadolivre.com.br/aspirador-po-mi-robot-vaccum-s10" TargetMode="External" Id="rId26"/><Relationship Type="http://schemas.openxmlformats.org/officeDocument/2006/relationships/hyperlink" Target="https://lista.mercadolivre.com.br/aspirador-po-xiaomi-robot-vacuum-s10" TargetMode="External" Id="rId27"/><Relationship Type="http://schemas.openxmlformats.org/officeDocument/2006/relationships/hyperlink" Target="https://lista.mercadolivre.com.br/ferramenta-manual-prensa-termica-mecolour-p8100" TargetMode="External" Id="rId28"/><Relationship Type="http://schemas.openxmlformats.org/officeDocument/2006/relationships/hyperlink" Target="https://lista.mercadolivre.com.br/aspirador-po-mi-robot-vacuun-s10" TargetMode="External" Id="rId29"/><Relationship Type="http://schemas.openxmlformats.org/officeDocument/2006/relationships/hyperlink" Target="https://lista.mercadolivre.com.br/aspirador-po-mi-robot-vacuum-s10" TargetMode="External" Id="rId30"/><Relationship Type="http://schemas.openxmlformats.org/officeDocument/2006/relationships/hyperlink" Target="https://lista.mercadolivre.com.br/aspirador-po-mi-robot-vacuum-s10" TargetMode="External" Id="rId31"/><Relationship Type="http://schemas.openxmlformats.org/officeDocument/2006/relationships/hyperlink" Target="https://lista.mercadolivre.com.br/aspirador-po-mi-robot-vacuum-s10" TargetMode="External" Id="rId32"/><Relationship Type="http://schemas.openxmlformats.org/officeDocument/2006/relationships/hyperlink" Target="https://lista.mercadolivre.com.br/aspirador-po-mi-robot-vacuum-s10" TargetMode="External" Id="rId33"/><Relationship Type="http://schemas.openxmlformats.org/officeDocument/2006/relationships/hyperlink" Target="https://lista.mercadolivre.com.br/aspirador-po-mi-robot-vacuum-s10" TargetMode="External" Id="rId34"/><Relationship Type="http://schemas.openxmlformats.org/officeDocument/2006/relationships/hyperlink" Target="https://lista.mercadolivre.com.br/barraca-camping-naturehike-autdoors-mat-for" TargetMode="External" Id="rId35"/><Relationship Type="http://schemas.openxmlformats.org/officeDocument/2006/relationships/hyperlink" Target="https://lista.mercadolivre.com.br/aspirador-po-mi-robot-vacuum-s10" TargetMode="External" Id="rId36"/><Relationship Type="http://schemas.openxmlformats.org/officeDocument/2006/relationships/hyperlink" Target="https://lista.mercadolivre.com.br/aspirador-po-mi-xiaomi-robot-vacuum" TargetMode="External" Id="rId37"/><Relationship Type="http://schemas.openxmlformats.org/officeDocument/2006/relationships/hyperlink" Target="https://lista.mercadolivre.com.br/aspirador-po-xiaomi-robot-vacuum-s10" TargetMode="External" Id="rId38"/><Relationship Type="http://schemas.openxmlformats.org/officeDocument/2006/relationships/hyperlink" Target="https://lista.mercadolivre.com.br/aspirador-po-xiaomi-robot-vacuum-s10" TargetMode="External" Id="rId39"/><Relationship Type="http://schemas.openxmlformats.org/officeDocument/2006/relationships/hyperlink" Target="https://lista.mercadolivre.com.br/aspirador-po-xiaomi-robot-vacuum-s10" TargetMode="External" Id="rId40"/><Relationship Type="http://schemas.openxmlformats.org/officeDocument/2006/relationships/hyperlink" Target="https://lista.mercadolivre.com.br/aspirador-po-mi-robot-vacuum-s10" TargetMode="External" Id="rId41"/><Relationship Type="http://schemas.openxmlformats.org/officeDocument/2006/relationships/hyperlink" Target="https://lista.mercadolivre.com.br/aspirador-po-mi-robot-vacuum-s10" TargetMode="External" Id="rId42"/><Relationship Type="http://schemas.openxmlformats.org/officeDocument/2006/relationships/hyperlink" Target="https://lista.mercadolivre.com.br/aspirador-po-mi-robot-vacuum-s10" TargetMode="External" Id="rId43"/><Relationship Type="http://schemas.openxmlformats.org/officeDocument/2006/relationships/hyperlink" Target="https://lista.mercadolivre.com.br/aspirador-po-mi-robot-vacuum-s10" TargetMode="External" Id="rId44"/><Relationship Type="http://schemas.openxmlformats.org/officeDocument/2006/relationships/hyperlink" Target="https://lista.mercadolivre.com.br/aspirador-po-mi-robot-vacuum-s10" TargetMode="External" Id="rId45"/><Relationship Type="http://schemas.openxmlformats.org/officeDocument/2006/relationships/hyperlink" Target="https://lista.mercadolivre.com.br/aspirador-po-mi-robot-vacuum-s10" TargetMode="External" Id="rId46"/><Relationship Type="http://schemas.openxmlformats.org/officeDocument/2006/relationships/hyperlink" Target="https://lista.mercadolivre.com.br/ferramenta-manual-prensa-termica-plana-mecolour" TargetMode="External" Id="rId47"/><Relationship Type="http://schemas.openxmlformats.org/officeDocument/2006/relationships/hyperlink" Target="https://lista.mercadolivre.com.br/aspirador-po-xiaomi-robot-vacuum-s10" TargetMode="External" Id="rId48"/><Relationship Type="http://schemas.openxmlformats.org/officeDocument/2006/relationships/hyperlink" Target="https://lista.mercadolivre.com.br/aspirador-po-xiaomi-robot-vacuum-s10" TargetMode="External" Id="rId49"/><Relationship Type="http://schemas.openxmlformats.org/officeDocument/2006/relationships/hyperlink" Target="https://lista.mercadolivre.com.br/aspirador-po-xiaomi-robot-vacuum-s10" TargetMode="External" Id="rId50"/><Relationship Type="http://schemas.openxmlformats.org/officeDocument/2006/relationships/hyperlink" Target="https://lista.mercadolivre.com.br/ferramenta-manual-prensa-termica-plana-mecolour" TargetMode="External" Id="rId51"/><Relationship Type="http://schemas.openxmlformats.org/officeDocument/2006/relationships/hyperlink" Target="https://lista.mercadolivre.com.br/estacao-solda-quick-715-110v" TargetMode="External" Id="rId52"/><Relationship Type="http://schemas.openxmlformats.org/officeDocument/2006/relationships/hyperlink" Target="https://lista.mercadolivre.com.br/aspirador-po-samsung-power-bot-vr" TargetMode="External" Id="rId53"/><Relationship Type="http://schemas.openxmlformats.org/officeDocument/2006/relationships/hyperlink" Target="https://lista.mercadolivre.com.br/estacao-solda-quick-8686d-110v" TargetMode="External" Id="rId54"/><Relationship Type="http://schemas.openxmlformats.org/officeDocument/2006/relationships/hyperlink" Target="https://lista.mercadolivre.com.br/aspirador-po-samsung-vr5000-b11089ax405175" TargetMode="External" Id="rId55"/><Relationship Type="http://schemas.openxmlformats.org/officeDocument/2006/relationships/hyperlink" Target="https://lista.mercadolivre.com.br/aspirador-po-mi-robot-vacuum-e10" TargetMode="External" Id="rId56"/><Relationship Type="http://schemas.openxmlformats.org/officeDocument/2006/relationships/hyperlink" Target="https://lista.mercadolivre.com.br/aspirador-po-xiaomi-robot-vacuum-e10" TargetMode="External" Id="rId57"/><Relationship Type="http://schemas.openxmlformats.org/officeDocument/2006/relationships/hyperlink" Target="https://lista.mercadolivre.com.br/aspirador-po-mi-robot-vacuum-e10c" TargetMode="External" Id="rId58"/><Relationship Type="http://schemas.openxmlformats.org/officeDocument/2006/relationships/hyperlink" Target="https://lista.mercadolivre.com.br/binoculo-visao-noturna" TargetMode="External" Id="rId59"/><Relationship Type="http://schemas.openxmlformats.org/officeDocument/2006/relationships/hyperlink" Target="https://lista.mercadolivre.com.br/leitor-codigo-barras-eyoyo-ey024" TargetMode="External" Id="rId60"/><Relationship Type="http://schemas.openxmlformats.org/officeDocument/2006/relationships/hyperlink" Target="https://lista.mercadolivre.com.br/ferramenta-eletrica-profield-tosquiadeira-cavalos" TargetMode="External" Id="rId61"/><Relationship Type="http://schemas.openxmlformats.org/officeDocument/2006/relationships/hyperlink" Target="https://lista.mercadolivre.com.br/estacao-solda-kit-estacao-completa-retrabalho" TargetMode="External" Id="rId62"/><Relationship Type="http://schemas.openxmlformats.org/officeDocument/2006/relationships/hyperlink" Target="https://lista.mercadolivre.com.br/medidor-nivel-laser-huepar-904dg" TargetMode="External" Id="rId63"/><Relationship Type="http://schemas.openxmlformats.org/officeDocument/2006/relationships/hyperlink" Target="https://lista.mercadolivre.com.br/aspirador-po-electrolux-home-power-erb30" TargetMode="External" Id="rId64"/><Relationship Type="http://schemas.openxmlformats.org/officeDocument/2006/relationships/hyperlink" Target="https://lista.mercadolivre.com.br/video-porteiro-hik-vision-kit-campanhia" TargetMode="External" Id="rId65"/><Relationship Type="http://schemas.openxmlformats.org/officeDocument/2006/relationships/hyperlink" Target="https://lista.mercadolivre.com.br/barbeador-eletrico-gold-fx-babyliss-pro" TargetMode="External" Id="rId66"/><Relationship Type="http://schemas.openxmlformats.org/officeDocument/2006/relationships/hyperlink" Target="https://lista.mercadolivre.com.br/telescopico-svbony-sv28-gums40436-2401s0281100001" TargetMode="External" Id="rId67"/><Relationship Type="http://schemas.openxmlformats.org/officeDocument/2006/relationships/hyperlink" Target="https://lista.mercadolivre.com.br/estacao-solda-kit-estacao-completa-retrabalho" TargetMode="External" Id="rId68"/><Relationship Type="http://schemas.openxmlformats.org/officeDocument/2006/relationships/hyperlink" Target="https://lista.mercadolivre.com.br/estacao-retrabalho-smd-estacao-completa-retrabalho" TargetMode="External" Id="rId69"/><Relationship Type="http://schemas.openxmlformats.org/officeDocument/2006/relationships/hyperlink" Target="https://lista.mercadolivre.com.br/balanca-wa-terproof-crane-scale-3bg915" TargetMode="External" Id="rId70"/><Relationship Type="http://schemas.openxmlformats.org/officeDocument/2006/relationships/hyperlink" Target="https://lista.mercadolivre.com.br/painel-led-peerl-lighting-case" TargetMode="External" Id="rId71"/><Relationship Type="http://schemas.openxmlformats.org/officeDocument/2006/relationships/hyperlink" Target="https://lista.mercadolivre.com.br/baba-eletronica-taktark-bm813-tmxd70301-2afx2bm915" TargetMode="External" Id="rId72"/><Relationship Type="http://schemas.openxmlformats.org/officeDocument/2006/relationships/hyperlink" Target="https://lista.mercadolivre.com.br/aspirador-po-wap-robo-aspirador-fw00788001987322023" TargetMode="External" Id="rId73"/><Relationship Type="http://schemas.openxmlformats.org/officeDocument/2006/relationships/hyperlink" Target="https://lista.mercadolivre.com.br/binoculo-night-vision-4k-ultra-hd" TargetMode="External" Id="rId74"/><Relationship Type="http://schemas.openxmlformats.org/officeDocument/2006/relationships/hyperlink" Target="https://lista.mercadolivre.com.br/leitor-codigo-barras-eyoyo-cp2a0066us" TargetMode="External" Id="rId75"/><Relationship Type="http://schemas.openxmlformats.org/officeDocument/2006/relationships/hyperlink" Target="https://lista.mercadolivre.com.br/estacao-solda-griffin-t12-220v" TargetMode="External" Id="rId76"/><Relationship Type="http://schemas.openxmlformats.org/officeDocument/2006/relationships/hyperlink" Target="https://lista.mercadolivre.com.br/aspirador-po-wap-robot-w96-dguk36424" TargetMode="External" Id="rId77"/><Relationship Type="http://schemas.openxmlformats.org/officeDocument/2006/relationships/hyperlink" Target="https://lista.mercadolivre.com.br/ferramenta-eletrica-programadora-jcid-qq219563030br" TargetMode="External" Id="rId78"/><Relationship Type="http://schemas.openxmlformats.org/officeDocument/2006/relationships/hyperlink" Target="https://lista.mercadolivre.com.br/aromatizador-ambiente-intelligent-diffuser" TargetMode="External" Id="rId79"/><Relationship Type="http://schemas.openxmlformats.org/officeDocument/2006/relationships/hyperlink" Target="https://lista.mercadolivre.com.br/ferramenta-eletrica-profield-parafusadeira-impacto" TargetMode="External" Id="rId80"/><Relationship Type="http://schemas.openxmlformats.org/officeDocument/2006/relationships/hyperlink" Target="https://lista.mercadolivre.com.br/ferramenta-eletrica-profield-furadeira-impacto" TargetMode="External" Id="rId81"/><Relationship Type="http://schemas.openxmlformats.org/officeDocument/2006/relationships/hyperlink" Target="https://lista.mercadolivre.com.br/ferramenta-eletrica-profield-esmerilhadeira-angular" TargetMode="External" Id="rId82"/><Relationship Type="http://schemas.openxmlformats.org/officeDocument/2006/relationships/hyperlink" Target="https://lista.mercadolivre.com.br/baba-eletronica-video-baby-monitor-vb603" TargetMode="External" Id="rId83"/><Relationship Type="http://schemas.openxmlformats.org/officeDocument/2006/relationships/hyperlink" Target="https://lista.mercadolivre.com.br/depilador-a115" TargetMode="External" Id="rId84"/><Relationship Type="http://schemas.openxmlformats.org/officeDocument/2006/relationships/hyperlink" Target="https://lista.mercadolivre.com.br/telescopico-telescope-f36050" TargetMode="External" Id="rId85"/><Relationship Type="http://schemas.openxmlformats.org/officeDocument/2006/relationships/hyperlink" Target="https://lista.mercadolivre.com.br/utilidades-domesticas-chamador-queuing-wireless-us" TargetMode="External" Id="rId86"/><Relationship Type="http://schemas.openxmlformats.org/officeDocument/2006/relationships/hyperlink" Target="https://lista.mercadolivre.com.br/lamina-barbear-profield-lamina-tosquiar-ovinos" TargetMode="External" Id="rId87"/><Relationship Type="http://schemas.openxmlformats.org/officeDocument/2006/relationships/hyperlink" Target="https://lista.mercadolivre.com.br/arame-ovalado-1000m" TargetMode="External" Id="rId88"/><Relationship Type="http://schemas.openxmlformats.org/officeDocument/2006/relationships/hyperlink" Target="https://lista.mercadolivre.com.br/chapa-aluminio-254x388x0-15mm" TargetMode="External" Id="rId89"/><Relationship Type="http://schemas.openxmlformats.org/officeDocument/2006/relationships/hyperlink" Target="https://lista.mercadolivre.com.br/chapa-aluminio-800x600x0-30mm" TargetMode="External" Id="rId90"/><Relationship Type="http://schemas.openxmlformats.org/officeDocument/2006/relationships/hyperlink" Target="https://lista.mercadolivre.com.br/chapa-aluminio-525x459x0-15mm" TargetMode="External" Id="rId91"/><Relationship Type="http://schemas.openxmlformats.org/officeDocument/2006/relationships/hyperlink" Target="https://lista.mercadolivre.com.br/chapa-aluminio" TargetMode="External" Id="rId92"/><Relationship Type="http://schemas.openxmlformats.org/officeDocument/2006/relationships/hyperlink" Target="https://lista.mercadolivre.com.br/cabo-forca" TargetMode="External" Id="rId93"/><Relationship Type="http://schemas.openxmlformats.org/officeDocument/2006/relationships/hyperlink" Target="https://lista.mercadolivre.com.br/partes-pecas-maq-solda-suporte" TargetMode="External" Id="rId94"/><Relationship Type="http://schemas.openxmlformats.org/officeDocument/2006/relationships/hyperlink" Target="https://lista.mercadolivre.com.br/chapa-aluminio-30mm" TargetMode="External" Id="rId95"/><Relationship Type="http://schemas.openxmlformats.org/officeDocument/2006/relationships/hyperlink" Target="https://lista.mercadolivre.com.br/chapa-aluminio" TargetMode="External" Id="rId96"/><Relationship Type="http://schemas.openxmlformats.org/officeDocument/2006/relationships/hyperlink" Target="https://lista.mercadolivre.com.br/chapa-aluminio-50-unidades" TargetMode="External" Id="rId97"/><Relationship Type="http://schemas.openxmlformats.org/officeDocument/2006/relationships/hyperlink" Target="https://lista.mercadolivre.com.br/chapa-aluminio-100u" TargetMode="External" Id="rId98"/></Relationships>
</file>

<file path=xl/worksheets/_rels/sheet14.xml.rels><Relationships xmlns="http://schemas.openxmlformats.org/package/2006/relationships"><Relationship Type="http://schemas.openxmlformats.org/officeDocument/2006/relationships/hyperlink" Target="https://lista.mercadolivre.com.br/subwoofer-svs-pb-1000-pro" TargetMode="External" Id="rId1"/><Relationship Type="http://schemas.openxmlformats.org/officeDocument/2006/relationships/hyperlink" Target="https://lista.mercadolivre.com.br/mesa-de-som-behringer-x32-usada" TargetMode="External" Id="rId2"/><Relationship Type="http://schemas.openxmlformats.org/officeDocument/2006/relationships/hyperlink" Target="https://lista.mercadolivre.com.br/subwoofer-svs-pb-2000-pro" TargetMode="External" Id="rId3"/><Relationship Type="http://schemas.openxmlformats.org/officeDocument/2006/relationships/hyperlink" Target="https://produto.mercadolivre.com.br/MLB-4166844772-processadora-de-video-vx1000-novastar-_JM" TargetMode="External" Id="rId4"/><Relationship Type="http://schemas.openxmlformats.org/officeDocument/2006/relationships/hyperlink" Target="https://lista.mercadolivre.com.br/caixa-qsc-k12.2-usada" TargetMode="External" Id="rId5"/><Relationship Type="http://schemas.openxmlformats.org/officeDocument/2006/relationships/hyperlink" Target="https://lista.mercadolivre.com.br/caixa-qsc-k12.2-usada" TargetMode="External" Id="rId6"/><Relationship Type="http://schemas.openxmlformats.org/officeDocument/2006/relationships/hyperlink" Target="https://lista.mercadolivre.com.br/subwoofer-jbl-tornado-3000" TargetMode="External" Id="rId7"/><Relationship Type="http://schemas.openxmlformats.org/officeDocument/2006/relationships/hyperlink" Target="https://lista.mercadolivre.com.br/acordeom-scandalli-37k80bs" TargetMode="External" Id="rId8"/><Relationship Type="http://schemas.openxmlformats.org/officeDocument/2006/relationships/hyperlink" Target="https://lista.mercadolivre.com.br/caixa-acustica-jbl-eon715-ek-p3302" TargetMode="External" Id="rId9"/><Relationship Type="http://schemas.openxmlformats.org/officeDocument/2006/relationships/hyperlink" Target="https://lista.mercadolivre.com.br/fone-ouvido-microfon-microsoft-xbox-wireless" TargetMode="External" Id="rId10"/><Relationship Type="http://schemas.openxmlformats.org/officeDocument/2006/relationships/hyperlink" Target="https://lista.mercadolivre.com.br/amplificador-lab-gruppen-fp14000-sap2023000795" TargetMode="External" Id="rId11"/><Relationship Type="http://schemas.openxmlformats.org/officeDocument/2006/relationships/hyperlink" Target="https://lista.mercadolivre.com.br/amplificador-lab-gruppen-fp14000-sap2023000761" TargetMode="External" Id="rId12"/><Relationship Type="http://schemas.openxmlformats.org/officeDocument/2006/relationships/hyperlink" Target="https://lista.mercadolivre.com.br/amplificador-lab-gruppen-fp14000-sap2023000777" TargetMode="External" Id="rId13"/><Relationship Type="http://schemas.openxmlformats.org/officeDocument/2006/relationships/hyperlink" Target="https://lista.mercadolivre.com.br/caixa-acustica-inteligente-alexa-echo-dot" TargetMode="External" Id="rId14"/><Relationship Type="http://schemas.openxmlformats.org/officeDocument/2006/relationships/hyperlink" Target="https://lista.mercadolivre.com.br/caixa-acustica-bower-wilkins-606-s3" TargetMode="External" Id="rId15"/><Relationship Type="http://schemas.openxmlformats.org/officeDocument/2006/relationships/hyperlink" Target="https://lista.mercadolivre.com.br/caixa-acustica-svs-sb-pro-sb2p04241036" TargetMode="External" Id="rId16"/><Relationship Type="http://schemas.openxmlformats.org/officeDocument/2006/relationships/hyperlink" Target="https://lista.mercadolivre.com.br/acordeom-todeskini-48-baixo" TargetMode="External" Id="rId17"/><Relationship Type="http://schemas.openxmlformats.org/officeDocument/2006/relationships/hyperlink" Target="https://lista.mercadolivre.com.br/canhao-luz-led-laser-moving-head" TargetMode="External" Id="rId18"/><Relationship Type="http://schemas.openxmlformats.org/officeDocument/2006/relationships/hyperlink" Target="https://lista.mercadolivre.com.br/subwoofer-carro-pioneer-ts-w312d4" TargetMode="External" Id="rId19"/><Relationship Type="http://schemas.openxmlformats.org/officeDocument/2006/relationships/hyperlink" Target="https://lista.mercadolivre.com.br/subwoofer-home-theater-klipsch-12swi" TargetMode="External" Id="rId20"/><Relationship Type="http://schemas.openxmlformats.org/officeDocument/2006/relationships/hyperlink" Target="https://lista.mercadolivre.com.br/acess-som-dbx-harman-driverack-pa2" TargetMode="External" Id="rId21"/><Relationship Type="http://schemas.openxmlformats.org/officeDocument/2006/relationships/hyperlink" Target="https://lista.mercadolivre.com.br/fone-ouvido-kz-kz-zar-mwle43366" TargetMode="External" Id="rId22"/><Relationship Type="http://schemas.openxmlformats.org/officeDocument/2006/relationships/hyperlink" Target="https://lista.mercadolivre.com.br/acess-instr-musical-receiver-vave-air" TargetMode="External" Id="rId23"/><Relationship Type="http://schemas.openxmlformats.org/officeDocument/2006/relationships/hyperlink" Target="https://lista.mercadolivre.com.br/caixa-acustica-krk-rokit-hbhh167370-hbhh165737" TargetMode="External" Id="rId24"/><Relationship Type="http://schemas.openxmlformats.org/officeDocument/2006/relationships/hyperlink" Target="https://lista.mercadolivre.com.br/microfone-fio-dji-mic-6vrxlbp0132muf" TargetMode="External" Id="rId25"/><Relationship Type="http://schemas.openxmlformats.org/officeDocument/2006/relationships/hyperlink" Target="https://lista.mercadolivre.com.br/microfone-audio-technica-at2020" TargetMode="External" Id="rId26"/><Relationship Type="http://schemas.openxmlformats.org/officeDocument/2006/relationships/hyperlink" Target="https://lista.mercadolivre.com.br/caixa-acustica-jbl-partybox-on-the" TargetMode="External" Id="rId27"/><Relationship Type="http://schemas.openxmlformats.org/officeDocument/2006/relationships/hyperlink" Target="https://lista.mercadolivre.com.br/caixa-acustica-jbl-partybox-on-the" TargetMode="External" Id="rId28"/><Relationship Type="http://schemas.openxmlformats.org/officeDocument/2006/relationships/hyperlink" Target="https://lista.mercadolivre.com.br/fone-ouvido-microfon-steelseries-arctis-nova" TargetMode="External" Id="rId29"/><Relationship Type="http://schemas.openxmlformats.org/officeDocument/2006/relationships/hyperlink" Target="https://lista.mercadolivre.com.br/fone-ouvido-wirelles-headset-xbox-steelseries" TargetMode="External" Id="rId30"/><Relationship Type="http://schemas.openxmlformats.org/officeDocument/2006/relationships/hyperlink" Target="https://lista.mercadolivre.com.br/mesa-som-profx12-v3" TargetMode="External" Id="rId31"/><Relationship Type="http://schemas.openxmlformats.org/officeDocument/2006/relationships/hyperlink" Target="https://lista.mercadolivre.com.br/amplificador-behringer-ha8000-s240101035bru" TargetMode="External" Id="rId32"/><Relationship Type="http://schemas.openxmlformats.org/officeDocument/2006/relationships/hyperlink" Target="https://lista.mercadolivre.com.br/microfone-fio-dji-mic-ast01-kit" TargetMode="External" Id="rId33"/><Relationship Type="http://schemas.openxmlformats.org/officeDocument/2006/relationships/hyperlink" Target="https://lista.mercadolivre.com.br/pedal-instr-musical-zoom-b1-four" TargetMode="External" Id="rId34"/><Relationship Type="http://schemas.openxmlformats.org/officeDocument/2006/relationships/hyperlink" Target="https://lista.mercadolivre.com.br/acess-som-elgato-wave-xlr-a01da40122drd6" TargetMode="External" Id="rId35"/><Relationship Type="http://schemas.openxmlformats.org/officeDocument/2006/relationships/hyperlink" Target="https://lista.mercadolivre.com.br/canhao-luz-briwax-bx-368-mwtp00069" TargetMode="External" Id="rId36"/><Relationship Type="http://schemas.openxmlformats.org/officeDocument/2006/relationships/hyperlink" Target="https://lista.mercadolivre.com.br/alto-falante-jbl-kit-arandela-mais" TargetMode="External" Id="rId37"/><Relationship Type="http://schemas.openxmlformats.org/officeDocument/2006/relationships/hyperlink" Target="https://lista.mercadolivre.com.br/alto-falante-jbl-kit-arandela-mais" TargetMode="External" Id="rId38"/><Relationship Type="http://schemas.openxmlformats.org/officeDocument/2006/relationships/hyperlink" Target="https://lista.mercadolivre.com.br/alto-falante-jbl-kit-arandela-mais" TargetMode="External" Id="rId39"/><Relationship Type="http://schemas.openxmlformats.org/officeDocument/2006/relationships/hyperlink" Target="https://lista.mercadolivre.com.br/alto-falante-jbl-kit-arandela-mais" TargetMode="External" Id="rId40"/><Relationship Type="http://schemas.openxmlformats.org/officeDocument/2006/relationships/hyperlink" Target="https://lista.mercadolivre.com.br/alto-falante-jbl-kit-arandela-mais" TargetMode="External" Id="rId41"/><Relationship Type="http://schemas.openxmlformats.org/officeDocument/2006/relationships/hyperlink" Target="https://lista.mercadolivre.com.br/alto-falante-jbl-kit-arandela-mais" TargetMode="External" Id="rId42"/><Relationship Type="http://schemas.openxmlformats.org/officeDocument/2006/relationships/hyperlink" Target="https://lista.mercadolivre.com.br/pedal-instr-musical-zoom-g1-four" TargetMode="External" Id="rId43"/><Relationship Type="http://schemas.openxmlformats.org/officeDocument/2006/relationships/hyperlink" Target="https://lista.mercadolivre.com.br/pedal-instr-musical-zoom-g1-four" TargetMode="External" Id="rId44"/><Relationship Type="http://schemas.openxmlformats.org/officeDocument/2006/relationships/hyperlink" Target="https://lista.mercadolivre.com.br/microfone-shure-sv200" TargetMode="External" Id="rId45"/><Relationship Type="http://schemas.openxmlformats.org/officeDocument/2006/relationships/hyperlink" Target="https://lista.mercadolivre.com.br/fone-ouvido-fio-jbl-tour-pro" TargetMode="External" Id="rId46"/><Relationship Type="http://schemas.openxmlformats.org/officeDocument/2006/relationships/hyperlink" Target="https://lista.mercadolivre.com.br/microfone-fio-boya-by-wm8-pro" TargetMode="External" Id="rId47"/><Relationship Type="http://schemas.openxmlformats.org/officeDocument/2006/relationships/hyperlink" Target="https://lista.mercadolivre.com.br/fone-ouvido-razer-playstation-for-pour" TargetMode="External" Id="rId48"/><Relationship Type="http://schemas.openxmlformats.org/officeDocument/2006/relationships/hyperlink" Target="https://lista.mercadolivre.com.br/fone-ouvido-razer-hammerhead-hyperspeed-nhdr50403" TargetMode="External" Id="rId49"/><Relationship Type="http://schemas.openxmlformats.org/officeDocument/2006/relationships/hyperlink" Target="https://lista.mercadolivre.com.br/fone-ouvido-sony-inzone-buds-dqou67356" TargetMode="External" Id="rId50"/><Relationship Type="http://schemas.openxmlformats.org/officeDocument/2006/relationships/hyperlink" Target="https://lista.mercadolivre.com.br/microfone-hyperx-quadcsat-cdbo68746-c1w31616nf" TargetMode="External" Id="rId51"/><Relationship Type="http://schemas.openxmlformats.org/officeDocument/2006/relationships/hyperlink" Target="https://lista.mercadolivre.com.br/microfone-hyperx-quadcsat-cdbo68746-c1w31616l7" TargetMode="External" Id="rId52"/><Relationship Type="http://schemas.openxmlformats.org/officeDocument/2006/relationships/hyperlink" Target="https://lista.mercadolivre.com.br/microfone-hyperx-quadcsat-cdbo68746-c1w3161fbh" TargetMode="External" Id="rId53"/><Relationship Type="http://schemas.openxmlformats.org/officeDocument/2006/relationships/hyperlink" Target="https://lista.mercadolivre.com.br/microfone-hyperx-quadcsat-cdbo68746-c1w30618mz" TargetMode="External" Id="rId54"/><Relationship Type="http://schemas.openxmlformats.org/officeDocument/2006/relationships/hyperlink" Target="https://lista.mercadolivre.com.br/microfone-hyperx-quadcsat-cdbo68746-c1w3172gw4" TargetMode="External" Id="rId55"/><Relationship Type="http://schemas.openxmlformats.org/officeDocument/2006/relationships/hyperlink" Target="https://lista.mercadolivre.com.br/microfone-hyperx-quadcsat-cdbo68746-c1w3161fl8" TargetMode="External" Id="rId56"/><Relationship Type="http://schemas.openxmlformats.org/officeDocument/2006/relationships/hyperlink" Target="https://lista.mercadolivre.com.br/microfone-hyperx-quadcsat-cdbo68746-c1w31616l4" TargetMode="External" Id="rId57"/><Relationship Type="http://schemas.openxmlformats.org/officeDocument/2006/relationships/hyperlink" Target="https://lista.mercadolivre.com.br/microfone-hyperx-quadcsat-cdbo68746-c1w31616l9" TargetMode="External" Id="rId58"/><Relationship Type="http://schemas.openxmlformats.org/officeDocument/2006/relationships/hyperlink" Target="https://lista.mercadolivre.com.br/microfone-hyperx-quadcsat-cdbo68746-c1w3172gmx" TargetMode="External" Id="rId59"/><Relationship Type="http://schemas.openxmlformats.org/officeDocument/2006/relationships/hyperlink" Target="https://lista.mercadolivre.com.br/microfone-hyperx-quadcsat-cdbo68746-c1w31619sj" TargetMode="External" Id="rId60"/><Relationship Type="http://schemas.openxmlformats.org/officeDocument/2006/relationships/hyperlink" Target="https://lista.mercadolivre.com.br/microfone-hyperx-quadcsat-cdbo68746-c1w3161b5j" TargetMode="External" Id="rId61"/><Relationship Type="http://schemas.openxmlformats.org/officeDocument/2006/relationships/hyperlink" Target="https://lista.mercadolivre.com.br/microfone-hyperx-quadcsat-cdbo68746-c1w31616nw" TargetMode="External" Id="rId62"/><Relationship Type="http://schemas.openxmlformats.org/officeDocument/2006/relationships/hyperlink" Target="https://lista.mercadolivre.com.br/microfone-hyperx-quadcsat-cdbo68746-c1w3161fkw" TargetMode="External" Id="rId63"/><Relationship Type="http://schemas.openxmlformats.org/officeDocument/2006/relationships/hyperlink" Target="https://lista.mercadolivre.com.br/microfone-hyperx-quadcsat-cdbo68746-c1w3161fl2" TargetMode="External" Id="rId64"/><Relationship Type="http://schemas.openxmlformats.org/officeDocument/2006/relationships/hyperlink" Target="https://lista.mercadolivre.com.br/microfone-hyperx-quadcsat-cdbo68746-c1w31616kw" TargetMode="External" Id="rId65"/><Relationship Type="http://schemas.openxmlformats.org/officeDocument/2006/relationships/hyperlink" Target="https://lista.mercadolivre.com.br/microfone-hyperx-quadcsat-cdbo68746-c1w2520gzs" TargetMode="External" Id="rId66"/><Relationship Type="http://schemas.openxmlformats.org/officeDocument/2006/relationships/hyperlink" Target="https://lista.mercadolivre.com.br/microfone-hyperx-quadcsat-cdbo68746-c1w3161f7q" TargetMode="External" Id="rId67"/><Relationship Type="http://schemas.openxmlformats.org/officeDocument/2006/relationships/hyperlink" Target="https://lista.mercadolivre.com.br/microfone-hyperx-quadcsat-cdbo68746-c1w3161f5d" TargetMode="External" Id="rId68"/><Relationship Type="http://schemas.openxmlformats.org/officeDocument/2006/relationships/hyperlink" Target="https://lista.mercadolivre.com.br/microfone-hyperx-quadcsat-cdbo68746-c1w31102mn" TargetMode="External" Id="rId69"/><Relationship Type="http://schemas.openxmlformats.org/officeDocument/2006/relationships/hyperlink" Target="https://lista.mercadolivre.com.br/microfone-hyperx-quadcsat-cdbo68746-c1w3161f7s" TargetMode="External" Id="rId70"/><Relationship Type="http://schemas.openxmlformats.org/officeDocument/2006/relationships/hyperlink" Target="https://lista.mercadolivre.com.br/microfone-hyperx-quadcsat-cdbo68746-c1w31619t6" TargetMode="External" Id="rId71"/><Relationship Type="http://schemas.openxmlformats.org/officeDocument/2006/relationships/hyperlink" Target="https://lista.mercadolivre.com.br/microfone-hyperx-quadcsat-cdbo68746-c1w3161f5y" TargetMode="External" Id="rId72"/><Relationship Type="http://schemas.openxmlformats.org/officeDocument/2006/relationships/hyperlink" Target="https://lista.mercadolivre.com.br/microfone-hyperx-quadcsat-cdbo68746-c1w3172gmy" TargetMode="External" Id="rId73"/><Relationship Type="http://schemas.openxmlformats.org/officeDocument/2006/relationships/hyperlink" Target="https://lista.mercadolivre.com.br/microfone-hyperx-quadcsat-cdbo68746-c1w3172gvw" TargetMode="External" Id="rId74"/><Relationship Type="http://schemas.openxmlformats.org/officeDocument/2006/relationships/hyperlink" Target="https://lista.mercadolivre.com.br/microfone-hyperx-quadcsat-cdbo68746-c1w3172gmv" TargetMode="External" Id="rId75"/><Relationship Type="http://schemas.openxmlformats.org/officeDocument/2006/relationships/hyperlink" Target="https://lista.mercadolivre.com.br/microfone-hyperx-quadcsat-cdbo68746-c1w3172gn0" TargetMode="External" Id="rId76"/><Relationship Type="http://schemas.openxmlformats.org/officeDocument/2006/relationships/hyperlink" Target="https://lista.mercadolivre.com.br/acess-som-behringer-umc202hd-s210402259bjz" TargetMode="External" Id="rId77"/><Relationship Type="http://schemas.openxmlformats.org/officeDocument/2006/relationships/hyperlink" Target="https://lista.mercadolivre.com.br/alto-falante-jbl-charge5-iiof90574-tl1126" TargetMode="External" Id="rId78"/><Relationship Type="http://schemas.openxmlformats.org/officeDocument/2006/relationships/hyperlink" Target="https://lista.mercadolivre.com.br/alto-falante-jbl-charge5-iiof90574-tl1126" TargetMode="External" Id="rId79"/><Relationship Type="http://schemas.openxmlformats.org/officeDocument/2006/relationships/hyperlink" Target="https://lista.mercadolivre.com.br/alto-falante-jbl-charge5-iiof90574-tl1126" TargetMode="External" Id="rId80"/><Relationship Type="http://schemas.openxmlformats.org/officeDocument/2006/relationships/hyperlink" Target="https://lista.mercadolivre.com.br/alto-falante-jbl-charge5-iiof90574-tl1126" TargetMode="External" Id="rId81"/><Relationship Type="http://schemas.openxmlformats.org/officeDocument/2006/relationships/hyperlink" Target="https://lista.mercadolivre.com.br/fone-ouvido-audio-technica-ath-m40x" TargetMode="External" Id="rId82"/><Relationship Type="http://schemas.openxmlformats.org/officeDocument/2006/relationships/hyperlink" Target="https://lista.mercadolivre.com.br/caixa-acustica-jbl-charge-nt0062-lm0181431" TargetMode="External" Id="rId83"/><Relationship Type="http://schemas.openxmlformats.org/officeDocument/2006/relationships/hyperlink" Target="https://lista.mercadolivre.com.br/caixa-acustica-inteligente-amazon-alexa-echo" TargetMode="External" Id="rId84"/><Relationship Type="http://schemas.openxmlformats.org/officeDocument/2006/relationships/hyperlink" Target="https://lista.mercadolivre.com.br/caixa-acustica-inteligente-amazon-alexa-echo" TargetMode="External" Id="rId85"/><Relationship Type="http://schemas.openxmlformats.org/officeDocument/2006/relationships/hyperlink" Target="https://lista.mercadolivre.com.br/caixa-acustica-multimidia-amazon-alexa-echo" TargetMode="External" Id="rId86"/><Relationship Type="http://schemas.openxmlformats.org/officeDocument/2006/relationships/hyperlink" Target="https://lista.mercadolivre.com.br/caixa-acustica-multimidia-amazon-alexa-echo" TargetMode="External" Id="rId87"/><Relationship Type="http://schemas.openxmlformats.org/officeDocument/2006/relationships/hyperlink" Target="https://lista.mercadolivre.com.br/alto-falante-jbl-charge-hsxk19094-nt0062" TargetMode="External" Id="rId88"/><Relationship Type="http://schemas.openxmlformats.org/officeDocument/2006/relationships/hyperlink" Target="https://lista.mercadolivre.com.br/alto-falante-jbl-charge-cfyl24397-nt0060" TargetMode="External" Id="rId89"/><Relationship Type="http://schemas.openxmlformats.org/officeDocument/2006/relationships/hyperlink" Target="https://lista.mercadolivre.com.br/alto-falante-jbl-charge-rhlb18149-tt0054" TargetMode="External" Id="rId90"/><Relationship Type="http://schemas.openxmlformats.org/officeDocument/2006/relationships/hyperlink" Target="https://lista.mercadolivre.com.br/alto-falante-jbl-charge-eybh20759-tl1239" TargetMode="External" Id="rId91"/><Relationship Type="http://schemas.openxmlformats.org/officeDocument/2006/relationships/hyperlink" Target="https://lista.mercadolivre.com.br/alto-falante-jbl-charge-eybh20759-nt0059" TargetMode="External" Id="rId92"/><Relationship Type="http://schemas.openxmlformats.org/officeDocument/2006/relationships/hyperlink" Target="https://lista.mercadolivre.com.br/fone-ouvido-microfon-razer-kaira-pro" TargetMode="External" Id="rId93"/><Relationship Type="http://schemas.openxmlformats.org/officeDocument/2006/relationships/hyperlink" Target="https://lista.mercadolivre.com.br/caixa-acustica-inteligente-jbl-charge-rhlb18149" TargetMode="External" Id="rId94"/><Relationship Type="http://schemas.openxmlformats.org/officeDocument/2006/relationships/hyperlink" Target="https://lista.mercadolivre.com.br/fone-ouvido-microfon-razer-kaira-pro" TargetMode="External" Id="rId95"/><Relationship Type="http://schemas.openxmlformats.org/officeDocument/2006/relationships/hyperlink" Target="https://lista.mercadolivre.com.br/caixa-acustica-inteligente-jbl-charge-hsxk19094" TargetMode="External" Id="rId96"/><Relationship Type="http://schemas.openxmlformats.org/officeDocument/2006/relationships/hyperlink" Target="https://lista.mercadolivre.com.br/fone-ouvido-microfon-razer-kaira-pro" TargetMode="External" Id="rId97"/><Relationship Type="http://schemas.openxmlformats.org/officeDocument/2006/relationships/hyperlink" Target="https://lista.mercadolivre.com.br/fone-ouvido-microfon-razer-kaira-pro" TargetMode="External" Id="rId98"/><Relationship Type="http://schemas.openxmlformats.org/officeDocument/2006/relationships/hyperlink" Target="https://lista.mercadolivre.com.br/caixa-acustica-multimidia-amazon-echo-show" TargetMode="External" Id="rId99"/><Relationship Type="http://schemas.openxmlformats.org/officeDocument/2006/relationships/hyperlink" Target="https://lista.mercadolivre.com.br/acess-som-elgato-stream-deck-a00wa4081j1ln2" TargetMode="External" Id="rId100"/><Relationship Type="http://schemas.openxmlformats.org/officeDocument/2006/relationships/hyperlink" Target="https://lista.mercadolivre.com.br/caixa-acustica-inteligente-alexa-echodot" TargetMode="External" Id="rId101"/><Relationship Type="http://schemas.openxmlformats.org/officeDocument/2006/relationships/hyperlink" Target="https://lista.mercadolivre.com.br/microfone-audio-technica-at2020" TargetMode="External" Id="rId102"/><Relationship Type="http://schemas.openxmlformats.org/officeDocument/2006/relationships/hyperlink" Target="https://lista.mercadolivre.com.br/pedal-instr-musical-zoom-ms-50g" TargetMode="External" Id="rId103"/><Relationship Type="http://schemas.openxmlformats.org/officeDocument/2006/relationships/hyperlink" Target="https://lista.mercadolivre.com.br/pedal-instr-musical-zoo-ms-50g" TargetMode="External" Id="rId104"/><Relationship Type="http://schemas.openxmlformats.org/officeDocument/2006/relationships/hyperlink" Target="https://lista.mercadolivre.com.br/microfone-hyperx-quadcast-cdbo68746-c1w3172gmt" TargetMode="External" Id="rId105"/><Relationship Type="http://schemas.openxmlformats.org/officeDocument/2006/relationships/hyperlink" Target="https://lista.mercadolivre.com.br/microfone-hyperx-quadcast-cdbo68746-c1w3161676" TargetMode="External" Id="rId106"/><Relationship Type="http://schemas.openxmlformats.org/officeDocument/2006/relationships/hyperlink" Target="https://lista.mercadolivre.com.br/microfone-hyperx-quadcast-cdbo68746-c1w3161f5h" TargetMode="External" Id="rId107"/><Relationship Type="http://schemas.openxmlformats.org/officeDocument/2006/relationships/hyperlink" Target="https://lista.mercadolivre.com.br/microfone-hyperx-quadcast-cdbo68746-c1w31616lb" TargetMode="External" Id="rId108"/><Relationship Type="http://schemas.openxmlformats.org/officeDocument/2006/relationships/hyperlink" Target="https://lista.mercadolivre.com.br/microfone-hyperx-quadcast-cdbo68746-c1w31610ls" TargetMode="External" Id="rId109"/><Relationship Type="http://schemas.openxmlformats.org/officeDocument/2006/relationships/hyperlink" Target="https://lista.mercadolivre.com.br/microfone-hyperx-quadcast-cdbo68746-c1w31102mj" TargetMode="External" Id="rId110"/><Relationship Type="http://schemas.openxmlformats.org/officeDocument/2006/relationships/hyperlink" Target="https://lista.mercadolivre.com.br/microfone-hyperx-quadcast-cdbo68746-c1w3161b6l" TargetMode="External" Id="rId111"/><Relationship Type="http://schemas.openxmlformats.org/officeDocument/2006/relationships/hyperlink" Target="https://lista.mercadolivre.com.br/microfone-hyperx-quadcast-cdbo68746-c1w2520ggy" TargetMode="External" Id="rId112"/><Relationship Type="http://schemas.openxmlformats.org/officeDocument/2006/relationships/hyperlink" Target="https://lista.mercadolivre.com.br/microfone-hyperx-quadcast-cdbo68746-c1w3161f82" TargetMode="External" Id="rId113"/><Relationship Type="http://schemas.openxmlformats.org/officeDocument/2006/relationships/hyperlink" Target="https://lista.mercadolivre.com.br/microfone-hyperx-quadcast-cdbo68746-c1w3161b6q" TargetMode="External" Id="rId114"/><Relationship Type="http://schemas.openxmlformats.org/officeDocument/2006/relationships/hyperlink" Target="https://lista.mercadolivre.com.br/microfone-hyperx-quadcast-cdbo68746-c1w3161fhn" TargetMode="External" Id="rId115"/><Relationship Type="http://schemas.openxmlformats.org/officeDocument/2006/relationships/hyperlink" Target="https://lista.mercadolivre.com.br/microfone-hyperx-quadcast-cdbo68746-c1w31619w7" TargetMode="External" Id="rId116"/><Relationship Type="http://schemas.openxmlformats.org/officeDocument/2006/relationships/hyperlink" Target="https://lista.mercadolivre.com.br/microfone-hyperx-quadcast-cdbo68746-c1w3161f7t" TargetMode="External" Id="rId117"/><Relationship Type="http://schemas.openxmlformats.org/officeDocument/2006/relationships/hyperlink" Target="https://lista.mercadolivre.com.br/microfone-hyperx-quadcast-cdbo68746-c1w3161fl0" TargetMode="External" Id="rId118"/><Relationship Type="http://schemas.openxmlformats.org/officeDocument/2006/relationships/hyperlink" Target="https://lista.mercadolivre.com.br/microfone-hyperx-quadcast-cdbo68746-c1w3161f81" TargetMode="External" Id="rId119"/><Relationship Type="http://schemas.openxmlformats.org/officeDocument/2006/relationships/hyperlink" Target="https://lista.mercadolivre.com.br/microfone-hyperx-quadcast-cdbo68746-c1w3161f75" TargetMode="External" Id="rId120"/><Relationship Type="http://schemas.openxmlformats.org/officeDocument/2006/relationships/hyperlink" Target="https://lista.mercadolivre.com.br/microfone-hyperx-quadcsat-cdbo68746-c1w3161fbg" TargetMode="External" Id="rId121"/><Relationship Type="http://schemas.openxmlformats.org/officeDocument/2006/relationships/hyperlink" Target="https://lista.mercadolivre.com.br/microfone-hyperx-quadcsat-cdbo68746-c1w3161fbm" TargetMode="External" Id="rId122"/><Relationship Type="http://schemas.openxmlformats.org/officeDocument/2006/relationships/hyperlink" Target="https://lista.mercadolivre.com.br/microfone-hyperx-quadcsat-cdbo68746-c1w3161b6m" TargetMode="External" Id="rId123"/><Relationship Type="http://schemas.openxmlformats.org/officeDocument/2006/relationships/hyperlink" Target="https://lista.mercadolivre.com.br/microfone-hyperx-quadcsat-cdbo68746-c1w3161f5f" TargetMode="External" Id="rId124"/><Relationship Type="http://schemas.openxmlformats.org/officeDocument/2006/relationships/hyperlink" Target="https://lista.mercadolivre.com.br/microfone-hyperx-quadcsat-cdbo68746-c1w3161b6j" TargetMode="External" Id="rId125"/><Relationship Type="http://schemas.openxmlformats.org/officeDocument/2006/relationships/hyperlink" Target="https://lista.mercadolivre.com.br/microfone-hyperx-quadcsat-cdbo68746-c1w2520gzt" TargetMode="External" Id="rId126"/><Relationship Type="http://schemas.openxmlformats.org/officeDocument/2006/relationships/hyperlink" Target="https://lista.mercadolivre.com.br/microfone-hyperx-quadcsat-cdbo68746-c1w3161f5c" TargetMode="External" Id="rId127"/><Relationship Type="http://schemas.openxmlformats.org/officeDocument/2006/relationships/hyperlink" Target="https://lista.mercadolivre.com.br/microfone-hyperx-quadcsat-cdbo68746-c1w3161b6p" TargetMode="External" Id="rId128"/><Relationship Type="http://schemas.openxmlformats.org/officeDocument/2006/relationships/hyperlink" Target="https://lista.mercadolivre.com.br/microfone-hyperx-quadcsat-cdbo68746-c1w3172gvy" TargetMode="External" Id="rId129"/><Relationship Type="http://schemas.openxmlformats.org/officeDocument/2006/relationships/hyperlink" Target="https://lista.mercadolivre.com.br/microfone-hyperx-quadcsat-cdbo68746-c1w31616kq" TargetMode="External" Id="rId130"/><Relationship Type="http://schemas.openxmlformats.org/officeDocument/2006/relationships/hyperlink" Target="https://lista.mercadolivre.com.br/microfone-hyperx-quadcsat-cdbo68746-c1w3172gmz" TargetMode="External" Id="rId131"/><Relationship Type="http://schemas.openxmlformats.org/officeDocument/2006/relationships/hyperlink" Target="https://lista.mercadolivre.com.br/microfone-hyperx-quadcsat-cdbo68746-c1w3161b3l" TargetMode="External" Id="rId132"/><Relationship Type="http://schemas.openxmlformats.org/officeDocument/2006/relationships/hyperlink" Target="https://lista.mercadolivre.com.br/microfone-hyperx-quadcsat-cdbo68746-c1w3161fhc" TargetMode="External" Id="rId133"/><Relationship Type="http://schemas.openxmlformats.org/officeDocument/2006/relationships/hyperlink" Target="https://lista.mercadolivre.com.br/microfone-hyperx-quadcsat-cdbo68746-c1w3161f5w" TargetMode="External" Id="rId134"/><Relationship Type="http://schemas.openxmlformats.org/officeDocument/2006/relationships/hyperlink" Target="https://lista.mercadolivre.com.br/microfone-hyperx-quadcsat-cdbo68746-c1w31616l8" TargetMode="External" Id="rId135"/><Relationship Type="http://schemas.openxmlformats.org/officeDocument/2006/relationships/hyperlink" Target="https://lista.mercadolivre.com.br/microfone-hyperx-quadcsat-cdbo68746-c1w31616kt" TargetMode="External" Id="rId136"/><Relationship Type="http://schemas.openxmlformats.org/officeDocument/2006/relationships/hyperlink" Target="https://lista.mercadolivre.com.br/microfone-hyperx-quadcsat-cdbo68746-c1w3161b6g" TargetMode="External" Id="rId137"/><Relationship Type="http://schemas.openxmlformats.org/officeDocument/2006/relationships/hyperlink" Target="https://lista.mercadolivre.com.br/microfone-hyperx-quadcast-cdbo68746-c1w3161fgf" TargetMode="External" Id="rId138"/><Relationship Type="http://schemas.openxmlformats.org/officeDocument/2006/relationships/hyperlink" Target="https://lista.mercadolivre.com.br/microfone-hyperx-quadcast-cdbo68746-c1w3161f86" TargetMode="External" Id="rId139"/><Relationship Type="http://schemas.openxmlformats.org/officeDocument/2006/relationships/hyperlink" Target="https://lista.mercadolivre.com.br/microfone-hyperx-quadcast-cdbo68746-c1w3161fbl" TargetMode="External" Id="rId140"/><Relationship Type="http://schemas.openxmlformats.org/officeDocument/2006/relationships/hyperlink" Target="https://lista.mercadolivre.com.br/microfone-hyperx-quadcast-cdbo68746-c1w3161fbj" TargetMode="External" Id="rId141"/><Relationship Type="http://schemas.openxmlformats.org/officeDocument/2006/relationships/hyperlink" Target="https://lista.mercadolivre.com.br/microfone-hyperx-quadcast-cdbo68746-c1w30618h7" TargetMode="External" Id="rId142"/><Relationship Type="http://schemas.openxmlformats.org/officeDocument/2006/relationships/hyperlink" Target="https://lista.mercadolivre.com.br/microfone-hyperx-quadcast-cdbo68746-c1w31616kp" TargetMode="External" Id="rId143"/><Relationship Type="http://schemas.openxmlformats.org/officeDocument/2006/relationships/hyperlink" Target="https://lista.mercadolivre.com.br/microfone-hyperx-quadcast-cdbo68746-c1w30618nm" TargetMode="External" Id="rId144"/><Relationship Type="http://schemas.openxmlformats.org/officeDocument/2006/relationships/hyperlink" Target="https://lista.mercadolivre.com.br/microfone-hyperx-quadcast-cdbo68746-c1w3161f7r" TargetMode="External" Id="rId145"/><Relationship Type="http://schemas.openxmlformats.org/officeDocument/2006/relationships/hyperlink" Target="https://lista.mercadolivre.com.br/microfone-hyperx-quadcast-cdbo68746-c1w31610lp" TargetMode="External" Id="rId146"/><Relationship Type="http://schemas.openxmlformats.org/officeDocument/2006/relationships/hyperlink" Target="https://lista.mercadolivre.com.br/microfone-hyperx-quadcast-cdbo68746-c1w31616jf" TargetMode="External" Id="rId147"/><Relationship Type="http://schemas.openxmlformats.org/officeDocument/2006/relationships/hyperlink" Target="https://lista.mercadolivre.com.br/microfone-hyperx-quadcast-cdbo68746-c1w3161fhr" TargetMode="External" Id="rId148"/><Relationship Type="http://schemas.openxmlformats.org/officeDocument/2006/relationships/hyperlink" Target="https://lista.mercadolivre.com.br/microfone-hyperx-quadcast-cdbo68746-c1w2520gzv" TargetMode="External" Id="rId149"/><Relationship Type="http://schemas.openxmlformats.org/officeDocument/2006/relationships/hyperlink" Target="https://lista.mercadolivre.com.br/microfone-hyperx-quadcast-cdbo68746-c1w3161f5g" TargetMode="External" Id="rId150"/><Relationship Type="http://schemas.openxmlformats.org/officeDocument/2006/relationships/hyperlink" Target="https://lista.mercadolivre.com.br/microfone-hyperx-quadcast-cdbo68746-c1w31616nv" TargetMode="External" Id="rId151"/><Relationship Type="http://schemas.openxmlformats.org/officeDocument/2006/relationships/hyperlink" Target="https://lista.mercadolivre.com.br/microfone-hyperx-quadcast-cdbo68746-c1w31102m7" TargetMode="External" Id="rId152"/><Relationship Type="http://schemas.openxmlformats.org/officeDocument/2006/relationships/hyperlink" Target="https://lista.mercadolivre.com.br/microfone-hyperx-quadcast-cdbo68746-c1w30618ft" TargetMode="External" Id="rId153"/><Relationship Type="http://schemas.openxmlformats.org/officeDocument/2006/relationships/hyperlink" Target="https://lista.mercadolivre.com.br/microfone-hyperx-quadcast-cdbo68746-c1w3110043" TargetMode="External" Id="rId154"/><Relationship Type="http://schemas.openxmlformats.org/officeDocument/2006/relationships/hyperlink" Target="https://lista.mercadolivre.com.br/microfone-hyperx-quadcast-cdbo68746-c1w3172gw3" TargetMode="External" Id="rId155"/><Relationship Type="http://schemas.openxmlformats.org/officeDocument/2006/relationships/hyperlink" Target="https://lista.mercadolivre.com.br/microfone-fio-jbl-wireless-microphone-rntt58484" TargetMode="External" Id="rId156"/><Relationship Type="http://schemas.openxmlformats.org/officeDocument/2006/relationships/hyperlink" Target="https://lista.mercadolivre.com.br/microfone-fio-jbl-wireless-microphone-rntt58484" TargetMode="External" Id="rId157"/><Relationship Type="http://schemas.openxmlformats.org/officeDocument/2006/relationships/hyperlink" Target="https://lista.mercadolivre.com.br/caixa-acustica-jbl-flip6-cs0543-am0011569" TargetMode="External" Id="rId158"/><Relationship Type="http://schemas.openxmlformats.org/officeDocument/2006/relationships/hyperlink" Target="https://lista.mercadolivre.com.br/subwoofer-carro-pioneer-ts-a3000ls4" TargetMode="External" Id="rId159"/><Relationship Type="http://schemas.openxmlformats.org/officeDocument/2006/relationships/hyperlink" Target="https://lista.mercadolivre.com.br/caixa-acustica-jbl-flip-tt0095-jn0426348" TargetMode="External" Id="rId160"/><Relationship Type="http://schemas.openxmlformats.org/officeDocument/2006/relationships/hyperlink" Target="https://lista.mercadolivre.com.br/subwoofer-carro-pioneer-ts-w312s4" TargetMode="External" Id="rId161"/><Relationship Type="http://schemas.openxmlformats.org/officeDocument/2006/relationships/hyperlink" Target="https://lista.mercadolivre.com.br/caixa-acustica-jbl-flip-cs0543-am0013504" TargetMode="External" Id="rId162"/><Relationship Type="http://schemas.openxmlformats.org/officeDocument/2006/relationships/hyperlink" Target="https://lista.mercadolivre.com.br/caixa-acustica-jbl-flip-cs0543-am0012923" TargetMode="External" Id="rId163"/><Relationship Type="http://schemas.openxmlformats.org/officeDocument/2006/relationships/hyperlink" Target="https://lista.mercadolivre.com.br/pedal-instr-musical-zoom-g1-four" TargetMode="External" Id="rId164"/><Relationship Type="http://schemas.openxmlformats.org/officeDocument/2006/relationships/hyperlink" Target="https://lista.mercadolivre.com.br/pedal-instr-musical-zoom-g1-four" TargetMode="External" Id="rId165"/><Relationship Type="http://schemas.openxmlformats.org/officeDocument/2006/relationships/hyperlink" Target="https://lista.mercadolivre.com.br/pedal-instr-musical-zoom-g1-four" TargetMode="External" Id="rId166"/><Relationship Type="http://schemas.openxmlformats.org/officeDocument/2006/relationships/hyperlink" Target="https://lista.mercadolivre.com.br/pedal-instr-musical-zoom-g1-four" TargetMode="External" Id="rId167"/><Relationship Type="http://schemas.openxmlformats.org/officeDocument/2006/relationships/hyperlink" Target="https://lista.mercadolivre.com.br/subwoofer-carro-pioneer-ts-w312s4" TargetMode="External" Id="rId168"/><Relationship Type="http://schemas.openxmlformats.org/officeDocument/2006/relationships/hyperlink" Target="https://lista.mercadolivre.com.br/fone-ouvido-microfon-razer-kaira-hyperspeed" TargetMode="External" Id="rId169"/><Relationship Type="http://schemas.openxmlformats.org/officeDocument/2006/relationships/hyperlink" Target="https://lista.mercadolivre.com.br/fone-ouvido-microfon-razer-kaira-hyperspeed" TargetMode="External" Id="rId170"/><Relationship Type="http://schemas.openxmlformats.org/officeDocument/2006/relationships/hyperlink" Target="https://lista.mercadolivre.com.br/acess-som-behringer-umc22-s220200557aux" TargetMode="External" Id="rId171"/><Relationship Type="http://schemas.openxmlformats.org/officeDocument/2006/relationships/hyperlink" Target="https://lista.mercadolivre.com.br/acess-som-behringer-umc22-s220200554aux" TargetMode="External" Id="rId172"/><Relationship Type="http://schemas.openxmlformats.org/officeDocument/2006/relationships/hyperlink" Target="https://lista.mercadolivre.com.br/acess-som-rode-microfones-psa" TargetMode="External" Id="rId173"/><Relationship Type="http://schemas.openxmlformats.org/officeDocument/2006/relationships/hyperlink" Target="https://lista.mercadolivre.com.br/microfone-behringer-s211202582226" TargetMode="External" Id="rId174"/><Relationship Type="http://schemas.openxmlformats.org/officeDocument/2006/relationships/hyperlink" Target="https://lista.mercadolivre.com.br/acess-som-behriger-phoria-um2-s220308333avv" TargetMode="External" Id="rId175"/><Relationship Type="http://schemas.openxmlformats.org/officeDocument/2006/relationships/hyperlink" Target="https://lista.mercadolivre.com.br/acess-som-behriger-phoria-um2-s220610008avv" TargetMode="External" Id="rId176"/><Relationship Type="http://schemas.openxmlformats.org/officeDocument/2006/relationships/hyperlink" Target="https://lista.mercadolivre.com.br/pedal-instr-musical-joyo-atmosphere-jzes09319" TargetMode="External" Id="rId177"/><Relationship Type="http://schemas.openxmlformats.org/officeDocument/2006/relationships/hyperlink" Target="https://lista.mercadolivre.com.br/pedal-instr-musical-joyo-atmosphere-jzes09319" TargetMode="External" Id="rId178"/><Relationship Type="http://schemas.openxmlformats.org/officeDocument/2006/relationships/hyperlink" Target="https://lista.mercadolivre.com.br/pedal-instr-musical-joyo-atmosphere-jzes09319" TargetMode="External" Id="rId179"/><Relationship Type="http://schemas.openxmlformats.org/officeDocument/2006/relationships/hyperlink" Target="https://lista.mercadolivre.com.br/pedal-instr-musical-joyo-atmosphere-jzes09319" TargetMode="External" Id="rId180"/><Relationship Type="http://schemas.openxmlformats.org/officeDocument/2006/relationships/hyperlink" Target="https://lista.mercadolivre.com.br/pedal-instr-musical-joyo-atmosphere-jzes09319" TargetMode="External" Id="rId181"/><Relationship Type="http://schemas.openxmlformats.org/officeDocument/2006/relationships/hyperlink" Target="https://lista.mercadolivre.com.br/pedal-instr-musical-joyo-atmosphere-jzes09319" TargetMode="External" Id="rId182"/><Relationship Type="http://schemas.openxmlformats.org/officeDocument/2006/relationships/hyperlink" Target="https://lista.mercadolivre.com.br/fone-ouvido-microfon-steelseries-hs25-lpbw70393" TargetMode="External" Id="rId183"/><Relationship Type="http://schemas.openxmlformats.org/officeDocument/2006/relationships/hyperlink" Target="https://lista.mercadolivre.com.br/fone-ouvido-microfon-xbox-steelseries-lpbw70393" TargetMode="External" Id="rId184"/><Relationship Type="http://schemas.openxmlformats.org/officeDocument/2006/relationships/hyperlink" Target="https://lista.mercadolivre.com.br/fone-ouvido-microfon-xbox-steelseries-lpbw70393" TargetMode="External" Id="rId185"/><Relationship Type="http://schemas.openxmlformats.org/officeDocument/2006/relationships/hyperlink" Target="https://lista.mercadolivre.com.br/fone-ouvido-microfon-xbox-steelseries-lpbw70393" TargetMode="External" Id="rId186"/><Relationship Type="http://schemas.openxmlformats.org/officeDocument/2006/relationships/hyperlink" Target="https://lista.mercadolivre.com.br/canhao-luz-kit-discoteca-rgb-globo" TargetMode="External" Id="rId187"/><Relationship Type="http://schemas.openxmlformats.org/officeDocument/2006/relationships/hyperlink" Target="https://lista.mercadolivre.com.br/fone-ouvido-jbl-tune-130nc-wtje29452" TargetMode="External" Id="rId188"/><Relationship Type="http://schemas.openxmlformats.org/officeDocument/2006/relationships/hyperlink" Target="https://lista.mercadolivre.com.br/acess-som-behringer-um2-s220610007avv" TargetMode="External" Id="rId189"/><Relationship Type="http://schemas.openxmlformats.org/officeDocument/2006/relationships/hyperlink" Target="https://lista.mercadolivre.com.br/transmissor-instr-mus-vave-air-bridge" TargetMode="External" Id="rId190"/><Relationship Type="http://schemas.openxmlformats.org/officeDocument/2006/relationships/hyperlink" Target="https://lista.mercadolivre.com.br/caixa-acustica-jbl-clip4" TargetMode="External" Id="rId191"/><Relationship Type="http://schemas.openxmlformats.org/officeDocument/2006/relationships/hyperlink" Target="https://lista.mercadolivre.com.br/caixa-acustica-inteligente-alexia-echo-dot" TargetMode="External" Id="rId192"/><Relationship Type="http://schemas.openxmlformats.org/officeDocument/2006/relationships/hyperlink" Target="https://lista.mercadolivre.com.br/caixa-acustica-jbl-go4-cn0111-ln0013372" TargetMode="External" Id="rId193"/><Relationship Type="http://schemas.openxmlformats.org/officeDocument/2006/relationships/hyperlink" Target="https://lista.mercadolivre.com.br/caixa-acustica-inteligente-alexa-echo-pop" TargetMode="External" Id="rId194"/><Relationship Type="http://schemas.openxmlformats.org/officeDocument/2006/relationships/hyperlink" Target="https://lista.mercadolivre.com.br/caixa-acustica-inteligente-amazon-alexa-echo" TargetMode="External" Id="rId195"/><Relationship Type="http://schemas.openxmlformats.org/officeDocument/2006/relationships/hyperlink" Target="https://lista.mercadolivre.com.br/caixa-acustica-inteligente-amazon-alexa-echo" TargetMode="External" Id="rId196"/><Relationship Type="http://schemas.openxmlformats.org/officeDocument/2006/relationships/hyperlink" Target="https://lista.mercadolivre.com.br/caixa-acustica-inteligente-alexa-echodot-g6g22h0741060akf" TargetMode="External" Id="rId197"/><Relationship Type="http://schemas.openxmlformats.org/officeDocument/2006/relationships/hyperlink" Target="https://lista.mercadolivre.com.br/microfone-shure-sv100" TargetMode="External" Id="rId198"/><Relationship Type="http://schemas.openxmlformats.org/officeDocument/2006/relationships/hyperlink" Target="https://lista.mercadolivre.com.br/caixa-acustica-inteligente-amazon-echo-dot" TargetMode="External" Id="rId199"/><Relationship Type="http://schemas.openxmlformats.org/officeDocument/2006/relationships/hyperlink" Target="https://lista.mercadolivre.com.br/caixa-acustica-inteligente-amazon-echo-dot" TargetMode="External" Id="rId200"/><Relationship Type="http://schemas.openxmlformats.org/officeDocument/2006/relationships/hyperlink" Target="https://lista.mercadolivre.com.br/caixa-acustica-inteligente-amazon-echodot-gra22h07347600ce" TargetMode="External" Id="rId201"/><Relationship Type="http://schemas.openxmlformats.org/officeDocument/2006/relationships/hyperlink" Target="https://lista.mercadolivre.com.br/acess-som-behringer-uca222-s231103815a31" TargetMode="External" Id="rId20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forcetech.com.br/products/ssd-best-memory-btsda-240g-535" TargetMode="External" Id="rId1"/><Relationship Type="http://schemas.openxmlformats.org/officeDocument/2006/relationships/hyperlink" Target="https://lista.mercadolivre.com.br/marantz-model-m4" TargetMode="External" Id="rId2"/><Relationship Type="http://schemas.openxmlformats.org/officeDocument/2006/relationships/hyperlink" Target="https://lista.mercadolivre.com.br/projetor-formovie-x5-4k" TargetMode="External" Id="rId3"/><Relationship Type="http://schemas.openxmlformats.org/officeDocument/2006/relationships/hyperlink" Target="https://produto.mercadolivre.com.br/MLB-3157657981-cambridge-audio-evo-75-amplificador-integrado-hdmi-wi-fi-arc-_JM" TargetMode="External" Id="rId4"/><Relationship Type="http://schemas.openxmlformats.org/officeDocument/2006/relationships/hyperlink" Target="https://lista.mercadolivre.com.br/mini-pc-lenovo-core-i5-usado" TargetMode="External" Id="rId5"/><Relationship Type="http://schemas.openxmlformats.org/officeDocument/2006/relationships/hyperlink" Target="https://lista.mercadolivre.com.br/receiver-onkyo-tx-rz50" TargetMode="External" Id="rId6"/><Relationship Type="http://schemas.openxmlformats.org/officeDocument/2006/relationships/hyperlink" Target="https://www.mercadolivre.com.br/gravador-portatil-zoom-podtrak-p8-podcast-multitrack-cor-cinza/p/MLB41921268" TargetMode="External" Id="rId7"/><Relationship Type="http://schemas.openxmlformats.org/officeDocument/2006/relationships/hyperlink" Target="https://lista.mercadolivre.com.br/receiver-marantz-cr612-bgu27240372929" TargetMode="External" Id="rId8"/><Relationship Type="http://schemas.openxmlformats.org/officeDocument/2006/relationships/hyperlink" Target="https://lista.mercadolivre.com.br/projetor-imagem-epson-power-lite-x49" TargetMode="External" Id="rId9"/><Relationship Type="http://schemas.openxmlformats.org/officeDocument/2006/relationships/hyperlink" Target="https://lista.mercadolivre.com.br/camera-circuito-fechado-smtav-bx30nbk-bx23101316430ndk" TargetMode="External" Id="rId10"/><Relationship Type="http://schemas.openxmlformats.org/officeDocument/2006/relationships/hyperlink" Target="https://lista.mercadolivre.com.br/flash-eletronico-yongnu-yn24ex" TargetMode="External" Id="rId11"/><Relationship Type="http://schemas.openxmlformats.org/officeDocument/2006/relationships/hyperlink" Target="https://lista.mercadolivre.com.br/lente-maq-fotografica-canon-rf-100" TargetMode="External" Id="rId12"/><Relationship Type="http://schemas.openxmlformats.org/officeDocument/2006/relationships/hyperlink" Target="https://lista.mercadolivre.com.br/lente-maq-fotografica-canon-rf-100" TargetMode="External" Id="rId13"/><Relationship Type="http://schemas.openxmlformats.org/officeDocument/2006/relationships/hyperlink" Target="https://lista.mercadolivre.com.br/lente-maq-fotografica-sony-18-105" TargetMode="External" Id="rId14"/><Relationship Type="http://schemas.openxmlformats.org/officeDocument/2006/relationships/hyperlink" Target="https://lista.mercadolivre.com.br/estabilizador-camera-feiyu-tech-scorp-jswg89551" TargetMode="External" Id="rId15"/><Relationship Type="http://schemas.openxmlformats.org/officeDocument/2006/relationships/hyperlink" Target="https://lista.mercadolivre.com.br/lampada-xenon-christie-cdxl-16m-lazhb508p" TargetMode="External" Id="rId16"/><Relationship Type="http://schemas.openxmlformats.org/officeDocument/2006/relationships/hyperlink" Target="https://lista.mercadolivre.com.br/projetor-imagem-viewsonic-ps502w-tnwg49194-x44234401010" TargetMode="External" Id="rId17"/><Relationship Type="http://schemas.openxmlformats.org/officeDocument/2006/relationships/hyperlink" Target="https://lista.mercadolivre.com.br/receiver-denon-m41s-aut27240374609-kit" TargetMode="External" Id="rId18"/><Relationship Type="http://schemas.openxmlformats.org/officeDocument/2006/relationships/hyperlink" Target="https://lista.mercadolivre.com.br/tablet-apple-64gb-a2696-d0jj9v9rvv" TargetMode="External" Id="rId19"/><Relationship Type="http://schemas.openxmlformats.org/officeDocument/2006/relationships/hyperlink" Target="https://lista.mercadolivre.com.br/filmadora-gopro-hero12-black-c3501324984154" TargetMode="External" Id="rId20"/><Relationship Type="http://schemas.openxmlformats.org/officeDocument/2006/relationships/hyperlink" Target="https://lista.mercadolivre.com.br/modulo-potencia-genset-controller-4520mkii-a1134307038" TargetMode="External" Id="rId21"/><Relationship Type="http://schemas.openxmlformats.org/officeDocument/2006/relationships/hyperlink" Target="https://lista.mercadolivre.com.br/filmadora-gopro-hero-12-black-c3501325881434" TargetMode="External" Id="rId22"/><Relationship Type="http://schemas.openxmlformats.org/officeDocument/2006/relationships/hyperlink" Target="https://lista.mercadolivre.com.br/lente-maq-fotografica-canon-rf-10" TargetMode="External" Id="rId23"/><Relationship Type="http://schemas.openxmlformats.org/officeDocument/2006/relationships/hyperlink" Target="https://lista.mercadolivre.com.br/lente-maq-fotografica-canon-rf-16mm" TargetMode="External" Id="rId24"/><Relationship Type="http://schemas.openxmlformats.org/officeDocument/2006/relationships/hyperlink" Target="https://lista.mercadolivre.com.br/filmadora-gopro-hero10-c3464280175327" TargetMode="External" Id="rId25"/><Relationship Type="http://schemas.openxmlformats.org/officeDocument/2006/relationships/hyperlink" Target="https://lista.mercadolivre.com.br/filmadora-gopro-hero10-c3464280172320" TargetMode="External" Id="rId26"/><Relationship Type="http://schemas.openxmlformats.org/officeDocument/2006/relationships/hyperlink" Target="https://lista.mercadolivre.com.br/filmadora-gopro-10-c3464280175026" TargetMode="External" Id="rId27"/><Relationship Type="http://schemas.openxmlformats.org/officeDocument/2006/relationships/hyperlink" Target="https://lista.mercadolivre.com.br/cpu-mini-lenovo-core-i5-adptador" TargetMode="External" Id="rId28"/><Relationship Type="http://schemas.openxmlformats.org/officeDocument/2006/relationships/hyperlink" Target="https://lista.mercadolivre.com.br/lente-maq-fotografica-canon-ef-70" TargetMode="External" Id="rId29"/><Relationship Type="http://schemas.openxmlformats.org/officeDocument/2006/relationships/hyperlink" Target="https://lista.mercadolivre.com.br/estabilizador-camera-feiyutech-scorp-akyz75573-h078233180764" TargetMode="External" Id="rId30"/><Relationship Type="http://schemas.openxmlformats.org/officeDocument/2006/relationships/hyperlink" Target="https://lista.mercadolivre.com.br/cpu-mini-beelink-ser-series-bykx20728" TargetMode="External" Id="rId31"/><Relationship Type="http://schemas.openxmlformats.org/officeDocument/2006/relationships/hyperlink" Target="https://lista.mercadolivre.com.br/estabilizador-camera-feiyu-tech-scorp-jswg89551" TargetMode="External" Id="rId32"/><Relationship Type="http://schemas.openxmlformats.org/officeDocument/2006/relationships/hyperlink" Target="https://lista.mercadolivre.com.br/estabilizador-camera-feiyu-tech-scorp-jswg89551" TargetMode="External" Id="rId33"/><Relationship Type="http://schemas.openxmlformats.org/officeDocument/2006/relationships/hyperlink" Target="https://lista.mercadolivre.com.br/estabilizador-camera-feuyu-tech-scorp-akyz75573" TargetMode="External" Id="rId34"/><Relationship Type="http://schemas.openxmlformats.org/officeDocument/2006/relationships/hyperlink" Target="https://lista.mercadolivre.com.br/estabilizador-camera-feuyu-tech-scorp-akyz75573" TargetMode="External" Id="rId35"/><Relationship Type="http://schemas.openxmlformats.org/officeDocument/2006/relationships/hyperlink" Target="https://lista.mercadolivre.com.br/tablet-xiaomi-redmi-se-8gb-ram" TargetMode="External" Id="rId36"/><Relationship Type="http://schemas.openxmlformats.org/officeDocument/2006/relationships/hyperlink" Target="https://lista.mercadolivre.com.br/tablet-xiaomi-redmi-se-8gb-ram" TargetMode="External" Id="rId37"/><Relationship Type="http://schemas.openxmlformats.org/officeDocument/2006/relationships/hyperlink" Target="https://lista.mercadolivre.com.br/tablet-xiaomi-redmi-se-8gb-ram" TargetMode="External" Id="rId38"/><Relationship Type="http://schemas.openxmlformats.org/officeDocument/2006/relationships/hyperlink" Target="https://lista.mercadolivre.com.br/tablet-xiaomi-redmi-se-8gb-ram" TargetMode="External" Id="rId39"/><Relationship Type="http://schemas.openxmlformats.org/officeDocument/2006/relationships/hyperlink" Target="https://lista.mercadolivre.com.br/tablet-xiaomi-redmi-se-8gb-ram" TargetMode="External" Id="rId40"/><Relationship Type="http://schemas.openxmlformats.org/officeDocument/2006/relationships/hyperlink" Target="https://lista.mercadolivre.com.br/tablet-xiaomi-redmi-se-8gb-ram" TargetMode="External" Id="rId41"/><Relationship Type="http://schemas.openxmlformats.org/officeDocument/2006/relationships/hyperlink" Target="https://lista.mercadolivre.com.br/lente-maq-fotografica-sigma-17-70mm" TargetMode="External" Id="rId42"/><Relationship Type="http://schemas.openxmlformats.org/officeDocument/2006/relationships/hyperlink" Target="https://lista.mercadolivre.com.br/lente-maq-fotografica-canon-ef-10" TargetMode="External" Id="rId43"/><Relationship Type="http://schemas.openxmlformats.org/officeDocument/2006/relationships/hyperlink" Target="https://lista.mercadolivre.com.br/camera-video-conferencia-mini-ptz-usb" TargetMode="External" Id="rId44"/><Relationship Type="http://schemas.openxmlformats.org/officeDocument/2006/relationships/hyperlink" Target="https://lista.mercadolivre.com.br/camera-video-conferencia-mini-ptz-usb" TargetMode="External" Id="rId45"/><Relationship Type="http://schemas.openxmlformats.org/officeDocument/2006/relationships/hyperlink" Target="https://lista.mercadolivre.com.br/camera-video-conferencia-mini-ptz-usb" TargetMode="External" Id="rId46"/><Relationship Type="http://schemas.openxmlformats.org/officeDocument/2006/relationships/hyperlink" Target="https://lista.mercadolivre.com.br/projetor-imagem-wanbo-t6-max-wwt612ayj923410474" TargetMode="External" Id="rId47"/><Relationship Type="http://schemas.openxmlformats.org/officeDocument/2006/relationships/hyperlink" Target="https://lista.mercadolivre.com.br/cpu-dell-mini-optiplex-hbhe80131-bv4trp2" TargetMode="External" Id="rId48"/><Relationship Type="http://schemas.openxmlformats.org/officeDocument/2006/relationships/hyperlink" Target="https://lista.mercadolivre.com.br/cpu-dell-mini-optiplex-hbhe80131-bv3wrp2" TargetMode="External" Id="rId49"/><Relationship Type="http://schemas.openxmlformats.org/officeDocument/2006/relationships/hyperlink" Target="https://lista.mercadolivre.com.br/projetor-imagem-wambo-t6max-ilrc77738-wwt622ayj923190284" TargetMode="External" Id="rId50"/><Relationship Type="http://schemas.openxmlformats.org/officeDocument/2006/relationships/hyperlink" Target="https://lista.mercadolivre.com.br/projetor-imagem-wambo-t6max-ilrc77738-wwt622ayj923190042" TargetMode="External" Id="rId51"/><Relationship Type="http://schemas.openxmlformats.org/officeDocument/2006/relationships/hyperlink" Target="https://lista.mercadolivre.com.br/tablet-xiaomi-redmi-pad-se-4gb" TargetMode="External" Id="rId52"/><Relationship Type="http://schemas.openxmlformats.org/officeDocument/2006/relationships/hyperlink" Target="https://lista.mercadolivre.com.br/flash-eletronico-meike-mk-mt24-qxap96229" TargetMode="External" Id="rId53"/><Relationship Type="http://schemas.openxmlformats.org/officeDocument/2006/relationships/hyperlink" Target="https://lista.mercadolivre.com.br/mesa-controle-camera-cftv-ckb-02v2" TargetMode="External" Id="rId54"/><Relationship Type="http://schemas.openxmlformats.org/officeDocument/2006/relationships/hyperlink" Target="https://lista.mercadolivre.com.br/leitor-cartao-magnetico-sunmi-v2pro-v2c6224p20767" TargetMode="External" Id="rId55"/><Relationship Type="http://schemas.openxmlformats.org/officeDocument/2006/relationships/hyperlink" Target="https://lista.mercadolivre.com.br/home-theater-in-box-kit-jbl" TargetMode="External" Id="rId56"/><Relationship Type="http://schemas.openxmlformats.org/officeDocument/2006/relationships/hyperlink" Target="https://lista.mercadolivre.com.br/ssd-solid-state-drive-sandisk-ssd" TargetMode="External" Id="rId57"/><Relationship Type="http://schemas.openxmlformats.org/officeDocument/2006/relationships/hyperlink" Target="https://lista.mercadolivre.com.br/ssd-solid-state-drive-sandisk-ssd" TargetMode="External" Id="rId58"/><Relationship Type="http://schemas.openxmlformats.org/officeDocument/2006/relationships/hyperlink" Target="https://lista.mercadolivre.com.br/cpu-mini-lenovo-core-i3-kqsv15293" TargetMode="External" Id="rId59"/><Relationship Type="http://schemas.openxmlformats.org/officeDocument/2006/relationships/hyperlink" Target="https://lista.mercadolivre.com.br/ssd-solid-state-drive-wd-green" TargetMode="External" Id="rId60"/><Relationship Type="http://schemas.openxmlformats.org/officeDocument/2006/relationships/hyperlink" Target="https://lista.mercadolivre.com.br/ssd-solid-state-drive-wd-green" TargetMode="External" Id="rId61"/><Relationship Type="http://schemas.openxmlformats.org/officeDocument/2006/relationships/hyperlink" Target="https://lista.mercadolivre.com.br/blu-ray-player-sony-bdp-s6700" TargetMode="External" Id="rId62"/><Relationship Type="http://schemas.openxmlformats.org/officeDocument/2006/relationships/hyperlink" Target="https://lista.mercadolivre.com.br/blu-ray-player-sony-bdp-s6700" TargetMode="External" Id="rId63"/><Relationship Type="http://schemas.openxmlformats.org/officeDocument/2006/relationships/hyperlink" Target="https://lista.mercadolivre.com.br/blu-ray-player-sony-bdp-s6700" TargetMode="External" Id="rId64"/><Relationship Type="http://schemas.openxmlformats.org/officeDocument/2006/relationships/hyperlink" Target="https://lista.mercadolivre.com.br/partes-pecas-camera-dig-godox-tt685ii" TargetMode="External" Id="rId65"/><Relationship Type="http://schemas.openxmlformats.org/officeDocument/2006/relationships/hyperlink" Target="https://lista.mercadolivre.com.br/flash-eletronico-godox-tt685n" TargetMode="External" Id="rId66"/><Relationship Type="http://schemas.openxmlformats.org/officeDocument/2006/relationships/hyperlink" Target="https://lista.mercadolivre.com.br/projetor-imagem-wambo-t4-wwt411abz323500053" TargetMode="External" Id="rId67"/><Relationship Type="http://schemas.openxmlformats.org/officeDocument/2006/relationships/hyperlink" Target="https://lista.mercadolivre.com.br/tablet-amazon-fire-hd-10-pelr17490" TargetMode="External" Id="rId68"/><Relationship Type="http://schemas.openxmlformats.org/officeDocument/2006/relationships/hyperlink" Target="https://lista.mercadolivre.com.br/projetor-imagem-bettdow-ac1038-trgl67677" TargetMode="External" Id="rId69"/><Relationship Type="http://schemas.openxmlformats.org/officeDocument/2006/relationships/hyperlink" Target="https://lista.mercadolivre.com.br/flash-eletronico-triopo-tr-988" TargetMode="External" Id="rId70"/><Relationship Type="http://schemas.openxmlformats.org/officeDocument/2006/relationships/hyperlink" Target="https://lista.mercadolivre.com.br/lente-maq-fotografica-jintu" TargetMode="External" Id="rId71"/><Relationship Type="http://schemas.openxmlformats.org/officeDocument/2006/relationships/hyperlink" Target="https://lista.mercadolivre.com.br/microcomputador-mllse-m2-intel-n3350-windows" TargetMode="External" Id="rId72"/><Relationship Type="http://schemas.openxmlformats.org/officeDocument/2006/relationships/hyperlink" Target="https://lista.mercadolivre.com.br/bateria-maq-fotograf-canon-lp-e6nh" TargetMode="External" Id="rId73"/><Relationship Type="http://schemas.openxmlformats.org/officeDocument/2006/relationships/hyperlink" Target="https://lista.mercadolivre.com.br/gravador-video-digital-ezcap-vhsdigi" TargetMode="External" Id="rId74"/><Relationship Type="http://schemas.openxmlformats.org/officeDocument/2006/relationships/hyperlink" Target="https://lista.mercadolivre.com.br/flash-eletronico-triopo-tr-950" TargetMode="External" Id="rId75"/><Relationship Type="http://schemas.openxmlformats.org/officeDocument/2006/relationships/hyperlink" Target="https://lista.mercadolivre.com.br/tablet-priton-tronpad-p7" TargetMode="External" Id="rId76"/><Relationship Type="http://schemas.openxmlformats.org/officeDocument/2006/relationships/hyperlink" Target="https://lista.mercadolivre.com.br/bateria-filmadora-gopro-rechargeable-battery-hero" TargetMode="External" Id="rId77"/><Relationship Type="http://schemas.openxmlformats.org/officeDocument/2006/relationships/hyperlink" Target="https://lista.mercadolivre.com.br/leitor-otico-cd-rom" TargetMode="External" Id="rId78"/><Relationship Type="http://schemas.openxmlformats.org/officeDocument/2006/relationships/hyperlink" Target="https://lista.mercadolivre.com.br/partes-pecas-camera-dig-livepro-l1" TargetMode="External" Id="rId79"/></Relationships>
</file>

<file path=xl/worksheets/_rels/sheet16.xml.rels><Relationships xmlns="http://schemas.openxmlformats.org/package/2006/relationships"><Relationship Type="http://schemas.openxmlformats.org/officeDocument/2006/relationships/hyperlink" Target="https://lista.mercadolivre.com.br/bicicleta-cervelo-p-series-1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mercadolivre.com.br/mesa-de-som-digital-16-canais-dm3-dante-yamaha-dm3/p/MLB47389926" TargetMode="External" Id="rId1"/><Relationship Type="http://schemas.openxmlformats.org/officeDocument/2006/relationships/hyperlink" Target="https://www.mercadolivre.com.br/tablet-xiaomi-redmi-pad-se-23073rpbfl-11-256gb-e-8gb-de-memoria-ram-graphite-gray-cinza/p/MLB29219683" TargetMode="External" Id="rId2"/><Relationship Type="http://schemas.openxmlformats.org/officeDocument/2006/relationships/hyperlink" Target="https://www.mercadolivre.com.br/mesa-de-som-digital-midas-m32-live/up/MLBU3711952772" TargetMode="External" Id="rId3"/><Relationship Type="http://schemas.openxmlformats.org/officeDocument/2006/relationships/hyperlink" Target="https://lista.mercadolivre.com.br/mesa-midas-m32" TargetMode="External" Id="rId4"/><Relationship Type="http://schemas.openxmlformats.org/officeDocument/2006/relationships/hyperlink" Target="https://lista.mercadolivre.com.br/bateria-dji-power-station" TargetMode="External" Id="rId5"/><Relationship Type="http://schemas.openxmlformats.org/officeDocument/2006/relationships/hyperlink" Target="https://www.mercadolivre.com.br/microfone-hollyland-lark-m2s-mini-combo-duo-sem-fio-preto/p/MLB45938602" TargetMode="External" Id="rId6"/><Relationship Type="http://schemas.openxmlformats.org/officeDocument/2006/relationships/hyperlink" Target="https://www.mercadolivre.com.br/caixa-acustica-portatil-bose-s1-pro-plus-preta-bluetooth-bivolt/p/MLB25526012" TargetMode="External" Id="rId7"/><Relationship Type="http://schemas.openxmlformats.org/officeDocument/2006/relationships/hyperlink" Target="https://lista.mercadolivre.com.br/caixa-acustica-bose-s1-pro-plus" TargetMode="External" Id="rId8"/><Relationship Type="http://schemas.openxmlformats.org/officeDocument/2006/relationships/hyperlink" Target="https://lista.mercadolivre.com.br/amplificador-line-hx-stomp-xl-21hxl1m7324008730" TargetMode="External" Id="rId9"/><Relationship Type="http://schemas.openxmlformats.org/officeDocument/2006/relationships/hyperlink" Target="https://lista.mercadolivre.com.br/painel-led-pro-light-uk-lmited" TargetMode="External" Id="rId10"/><Relationship Type="http://schemas.openxmlformats.org/officeDocument/2006/relationships/hyperlink" Target="https://lista.mercadolivre.com.br/microfone-shure-drum-kit-pecas-a042356481253685545675a" TargetMode="External" Id="rId11"/><Relationship Type="http://schemas.openxmlformats.org/officeDocument/2006/relationships/hyperlink" Target="https://lista.mercadolivre.com.br/caixa-acustica-bose-s1-pro-plus" TargetMode="External" Id="rId12"/><Relationship Type="http://schemas.openxmlformats.org/officeDocument/2006/relationships/hyperlink" Target="https://lista.mercadolivre.com.br/modulo-potencia-bateria-acustica-yamaha-ead10" TargetMode="External" Id="rId13"/><Relationship Type="http://schemas.openxmlformats.org/officeDocument/2006/relationships/hyperlink" Target="https://lista.mercadolivre.com.br/amplificador-ampeg-sgt-di-21sgd1v7347000235" TargetMode="External" Id="rId14"/><Relationship Type="http://schemas.openxmlformats.org/officeDocument/2006/relationships/hyperlink" Target="https://lista.mercadolivre.com.br/microfone-shure-kit-2cd29652555-embalagem-molhada" TargetMode="External" Id="rId15"/><Relationship Type="http://schemas.openxmlformats.org/officeDocument/2006/relationships/hyperlink" Target="https://lista.mercadolivre.com.br/microfone-shure-kit-2cd29652517-embalagem-molhada" TargetMode="External" Id="rId16"/><Relationship Type="http://schemas.openxmlformats.org/officeDocument/2006/relationships/hyperlink" Target="https://lista.mercadolivre.com.br/microfone-shure-kit-2cd29652543-embalagem-molhada" TargetMode="External" Id="rId17"/><Relationship Type="http://schemas.openxmlformats.org/officeDocument/2006/relationships/hyperlink" Target="https://lista.mercadolivre.com.br/patinete-eletrico-foston-s9-pro-cd36v2306y213449" TargetMode="External" Id="rId18"/><Relationship Type="http://schemas.openxmlformats.org/officeDocument/2006/relationships/hyperlink" Target="https://lista.mercadolivre.com.br/patinete-xiaomi" TargetMode="External" Id="rId19"/><Relationship Type="http://schemas.openxmlformats.org/officeDocument/2006/relationships/hyperlink" Target="https://lista.mercadolivre.com.br/acess-som-mxr-csp039" TargetMode="External" Id="rId20"/><Relationship Type="http://schemas.openxmlformats.org/officeDocument/2006/relationships/hyperlink" Target="https://lista.mercadolivre.com.br/acess-som-xotic-effects-usa-bb" TargetMode="External" Id="rId21"/></Relationships>
</file>

<file path=xl/worksheets/_rels/sheet18.xml.rels><Relationships xmlns="http://schemas.openxmlformats.org/package/2006/relationships"><Relationship Type="http://schemas.openxmlformats.org/officeDocument/2006/relationships/hyperlink" Target="https://lista.mercadolivre.com.br/ipad-10-64gb-usado" TargetMode="External" Id="rId1"/><Relationship Type="http://schemas.openxmlformats.org/officeDocument/2006/relationships/hyperlink" Target="https://lista.mercadolivre.com.br/ipad-10-64gb-usado" TargetMode="External" Id="rId2"/><Relationship Type="http://schemas.openxmlformats.org/officeDocument/2006/relationships/hyperlink" Target="https://lista.mercadolivre.com.br/ipad-10-64gb-usado" TargetMode="External" Id="rId3"/><Relationship Type="http://schemas.openxmlformats.org/officeDocument/2006/relationships/hyperlink" Target="https://lista.mercadolivre.com.br/ipad-10-64gb-usado" TargetMode="External" Id="rId4"/><Relationship Type="http://schemas.openxmlformats.org/officeDocument/2006/relationships/hyperlink" Target="https://lista.mercadolivre.com.br/ipad-10-64gb-usado" TargetMode="External" Id="rId5"/><Relationship Type="http://schemas.openxmlformats.org/officeDocument/2006/relationships/hyperlink" Target="https://lista.mercadolivre.com.br/ipad-10-64gb-usado" TargetMode="External" Id="rId6"/><Relationship Type="http://schemas.openxmlformats.org/officeDocument/2006/relationships/hyperlink" Target="https://lista.mercadolivre.com.br/ipad-10-64gb-usado" TargetMode="External" Id="rId7"/><Relationship Type="http://schemas.openxmlformats.org/officeDocument/2006/relationships/hyperlink" Target="https://lista.mercadolivre.com.br/tablet-apple-a2696-64gb-swm0j0wy711" TargetMode="External" Id="rId8"/><Relationship Type="http://schemas.openxmlformats.org/officeDocument/2006/relationships/hyperlink" Target="https://lista.mercadolivre.com.br/tablet-apple-a2696-64gb-srwm6ctjcdv" TargetMode="External" Id="rId9"/><Relationship Type="http://schemas.openxmlformats.org/officeDocument/2006/relationships/hyperlink" Target="https://lista.mercadolivre.com.br/tablet-apple-a2696-64gb-sfpp6k4ykvx" TargetMode="External" Id="rId10"/><Relationship Type="http://schemas.openxmlformats.org/officeDocument/2006/relationships/hyperlink" Target="https://lista.mercadolivre.com.br/tablet-apple-a2696-64gb-sj3704rr6x0" TargetMode="External" Id="rId11"/><Relationship Type="http://schemas.openxmlformats.org/officeDocument/2006/relationships/hyperlink" Target="https://lista.mercadolivre.com.br/tablet-apple-a2696-64gb-sl7qpv4tw5g" TargetMode="External" Id="rId12"/><Relationship Type="http://schemas.openxmlformats.org/officeDocument/2006/relationships/hyperlink" Target="https://lista.mercadolivre.com.br/tablet-apple-a2696-64gb-scy644qqqgq" TargetMode="External" Id="rId13"/><Relationship Type="http://schemas.openxmlformats.org/officeDocument/2006/relationships/hyperlink" Target="https://lista.mercadolivre.com.br/tablet-apple-a2696-64gb-sk72vqd7l77" TargetMode="External" Id="rId14"/><Relationship Type="http://schemas.openxmlformats.org/officeDocument/2006/relationships/hyperlink" Target="https://lista.mercadolivre.com.br/tablet-apple-a2696-64gb-sg4q4x0k7wr" TargetMode="External" Id="rId15"/><Relationship Type="http://schemas.openxmlformats.org/officeDocument/2006/relationships/hyperlink" Target="https://lista.mercadolivre.com.br/tablet-apple-a2696-64gb-sr7nk6fjd4f" TargetMode="External" Id="rId16"/><Relationship Type="http://schemas.openxmlformats.org/officeDocument/2006/relationships/hyperlink" Target="https://lista.mercadolivre.com.br/tablet-apple-a2696-64gb-sh6qp3cgxyl" TargetMode="External" Id="rId17"/><Relationship Type="http://schemas.openxmlformats.org/officeDocument/2006/relationships/hyperlink" Target="https://lista.mercadolivre.com.br/tablet-apple-a2696-64gb-skl097dn2p3" TargetMode="External" Id="rId18"/><Relationship Type="http://schemas.openxmlformats.org/officeDocument/2006/relationships/hyperlink" Target="https://lista.mercadolivre.com.br/tablet-apple-a2696-64gb-sckh9w1w603" TargetMode="External" Id="rId19"/><Relationship Type="http://schemas.openxmlformats.org/officeDocument/2006/relationships/hyperlink" Target="https://lista.mercadolivre.com.br/tablet-apple-a2696-64gb-skm4klqr3xy" TargetMode="External" Id="rId20"/><Relationship Type="http://schemas.openxmlformats.org/officeDocument/2006/relationships/hyperlink" Target="https://lista.mercadolivre.com.br/tablet-apple-a2696-64gb-sjyqpfq1331" TargetMode="External" Id="rId21"/><Relationship Type="http://schemas.openxmlformats.org/officeDocument/2006/relationships/hyperlink" Target="https://lista.mercadolivre.com.br/tablet-apple-a2696-64gb-q719qmd667" TargetMode="External" Id="rId22"/><Relationship Type="http://schemas.openxmlformats.org/officeDocument/2006/relationships/hyperlink" Target="https://lista.mercadolivre.com.br/tablet-apple-a2696-64gb-smy64l9kgm7" TargetMode="External" Id="rId23"/><Relationship Type="http://schemas.openxmlformats.org/officeDocument/2006/relationships/hyperlink" Target="https://lista.mercadolivre.com.br/tablet-apple-a2696-64gb-slqm19y3p60" TargetMode="External" Id="rId24"/><Relationship Type="http://schemas.openxmlformats.org/officeDocument/2006/relationships/hyperlink" Target="https://lista.mercadolivre.com.br/tablet-apple-a2696-64gb-sl23wvxm6f3" TargetMode="External" Id="rId25"/><Relationship Type="http://schemas.openxmlformats.org/officeDocument/2006/relationships/hyperlink" Target="https://lista.mercadolivre.com.br/tablet-apple-a2696-64gb-sh3hy65945l" TargetMode="External" Id="rId26"/><Relationship Type="http://schemas.openxmlformats.org/officeDocument/2006/relationships/hyperlink" Target="https://lista.mercadolivre.com.br/tablet-apple-a2696-64gb-sw36frqgtx4" TargetMode="External" Id="rId27"/><Relationship Type="http://schemas.openxmlformats.org/officeDocument/2006/relationships/hyperlink" Target="https://lista.mercadolivre.com.br/tablet-apple-a2696-64gb-spxmjpjljwy" TargetMode="External" Id="rId28"/><Relationship Type="http://schemas.openxmlformats.org/officeDocument/2006/relationships/hyperlink" Target="https://lista.mercadolivre.com.br/tablet-apple-a2696-64gb-sg6cg6376f0" TargetMode="External" Id="rId29"/><Relationship Type="http://schemas.openxmlformats.org/officeDocument/2006/relationships/hyperlink" Target="https://lista.mercadolivre.com.br/tablet-apple-a2696-64gb-sj7pc47xjxy" TargetMode="External" Id="rId30"/><Relationship Type="http://schemas.openxmlformats.org/officeDocument/2006/relationships/hyperlink" Target="https://lista.mercadolivre.com.br/tablet-apple-a2696-64gb-sn2rgwpcqwd" TargetMode="External" Id="rId31"/><Relationship Type="http://schemas.openxmlformats.org/officeDocument/2006/relationships/hyperlink" Target="https://lista.mercadolivre.com.br/tablet-apple-a2696-64gb-shtgf9959pv" TargetMode="External" Id="rId32"/><Relationship Type="http://schemas.openxmlformats.org/officeDocument/2006/relationships/hyperlink" Target="https://lista.mercadolivre.com.br/tablet-apple-a2696-64gb-skn4q4g53w7" TargetMode="External" Id="rId33"/><Relationship Type="http://schemas.openxmlformats.org/officeDocument/2006/relationships/hyperlink" Target="https://lista.mercadolivre.com.br/tablet-apple-a2696-64gb-sm700dmgf9h" TargetMode="External" Id="rId34"/><Relationship Type="http://schemas.openxmlformats.org/officeDocument/2006/relationships/hyperlink" Target="https://lista.mercadolivre.com.br/tablet-apple-a2696-64gb-sfjywgk206p" TargetMode="External" Id="rId35"/><Relationship Type="http://schemas.openxmlformats.org/officeDocument/2006/relationships/hyperlink" Target="https://lista.mercadolivre.com.br/tablet-apple-a2696-64gb-sddx4f6x6gt" TargetMode="External" Id="rId36"/><Relationship Type="http://schemas.openxmlformats.org/officeDocument/2006/relationships/hyperlink" Target="https://lista.mercadolivre.com.br/tablet-apple-a2696-64gb-sgn6px2dkd0" TargetMode="External" Id="rId37"/><Relationship Type="http://schemas.openxmlformats.org/officeDocument/2006/relationships/hyperlink" Target="https://lista.mercadolivre.com.br/tablet-apple-a2696-64gb-sfnrl2y20yw" TargetMode="External" Id="rId38"/><Relationship Type="http://schemas.openxmlformats.org/officeDocument/2006/relationships/hyperlink" Target="https://lista.mercadolivre.com.br/tablet-apple-a2696-64gb-smnxhw1dfy2" TargetMode="External" Id="rId39"/><Relationship Type="http://schemas.openxmlformats.org/officeDocument/2006/relationships/hyperlink" Target="https://lista.mercadolivre.com.br/tablet-apple-a2696-64gb-shyv9xkw4j1" TargetMode="External" Id="rId40"/><Relationship Type="http://schemas.openxmlformats.org/officeDocument/2006/relationships/hyperlink" Target="https://lista.mercadolivre.com.br/tablet-apple-a2696-64gb-shj5t096dcc" TargetMode="External" Id="rId41"/><Relationship Type="http://schemas.openxmlformats.org/officeDocument/2006/relationships/hyperlink" Target="https://lista.mercadolivre.com.br/tablet-apple-a2696-64gb-sh32kq0tj6t" TargetMode="External" Id="rId42"/><Relationship Type="http://schemas.openxmlformats.org/officeDocument/2006/relationships/hyperlink" Target="https://lista.mercadolivre.com.br/tablet-apple-a2696-64gb-sfg9q6t9kw3" TargetMode="External" Id="rId43"/><Relationship Type="http://schemas.openxmlformats.org/officeDocument/2006/relationships/hyperlink" Target="https://lista.mercadolivre.com.br/tablet-apple-a2696-64gb-shr9qj6765t" TargetMode="External" Id="rId44"/><Relationship Type="http://schemas.openxmlformats.org/officeDocument/2006/relationships/hyperlink" Target="https://lista.mercadolivre.com.br/tablet-apple-a2696-64gb-sxmwfq0lw52" TargetMode="External" Id="rId45"/><Relationship Type="http://schemas.openxmlformats.org/officeDocument/2006/relationships/hyperlink" Target="https://lista.mercadolivre.com.br/tablet-apple-a2696-64gb-sfqyqqc9m7k" TargetMode="External" Id="rId46"/><Relationship Type="http://schemas.openxmlformats.org/officeDocument/2006/relationships/hyperlink" Target="https://lista.mercadolivre.com.br/tablet-apple-a2696-64gb-sj54n6d7qj1" TargetMode="External" Id="rId47"/><Relationship Type="http://schemas.openxmlformats.org/officeDocument/2006/relationships/hyperlink" Target="https://lista.mercadolivre.com.br/tablet-apple-a2696-64gb-skp21r9jv0c" TargetMode="External" Id="rId48"/><Relationship Type="http://schemas.openxmlformats.org/officeDocument/2006/relationships/hyperlink" Target="https://lista.mercadolivre.com.br/tablet-apple-a2696-64gb-sfm4m47tkyh" TargetMode="External" Id="rId49"/><Relationship Type="http://schemas.openxmlformats.org/officeDocument/2006/relationships/hyperlink" Target="https://lista.mercadolivre.com.br/tablet-apple-a2696-64gb-sgxr37qw6pr" TargetMode="External" Id="rId50"/><Relationship Type="http://schemas.openxmlformats.org/officeDocument/2006/relationships/hyperlink" Target="https://lista.mercadolivre.com.br/tablet-apple-a2696-64gb-skcg4x976jw" TargetMode="External" Id="rId51"/><Relationship Type="http://schemas.openxmlformats.org/officeDocument/2006/relationships/hyperlink" Target="https://lista.mercadolivre.com.br/tablet-apple-a2696-64gb-shpm9yrqhf2" TargetMode="External" Id="rId52"/><Relationship Type="http://schemas.openxmlformats.org/officeDocument/2006/relationships/hyperlink" Target="https://lista.mercadolivre.com.br/tablet-apple-a2696-64gb-sk0j66g32c1" TargetMode="External" Id="rId53"/><Relationship Type="http://schemas.openxmlformats.org/officeDocument/2006/relationships/hyperlink" Target="https://lista.mercadolivre.com.br/tablet-apple-a2696-64gb-sh0c9q4kjt7" TargetMode="External" Id="rId54"/><Relationship Type="http://schemas.openxmlformats.org/officeDocument/2006/relationships/hyperlink" Target="https://lista.mercadolivre.com.br/tablet-apple-a2696-64gb-scqfq2tj9g2" TargetMode="External" Id="rId55"/><Relationship Type="http://schemas.openxmlformats.org/officeDocument/2006/relationships/hyperlink" Target="https://lista.mercadolivre.com.br/tablet-apple-a2696-64gb-sjl607022qw" TargetMode="External" Id="rId56"/><Relationship Type="http://schemas.openxmlformats.org/officeDocument/2006/relationships/hyperlink" Target="https://lista.mercadolivre.com.br/tablet-apple-a2696-64gb-sjqyhjh1fmw" TargetMode="External" Id="rId57"/><Relationship Type="http://schemas.openxmlformats.org/officeDocument/2006/relationships/hyperlink" Target="https://lista.mercadolivre.com.br/tablet-apple-a2696-64gb-sj7wxjkxfc9" TargetMode="External" Id="rId58"/><Relationship Type="http://schemas.openxmlformats.org/officeDocument/2006/relationships/hyperlink" Target="https://lista.mercadolivre.com.br/tablet-apple-a2696-64gb-sm9ny997gjw" TargetMode="External" Id="rId59"/><Relationship Type="http://schemas.openxmlformats.org/officeDocument/2006/relationships/hyperlink" Target="https://lista.mercadolivre.com.br/tablet-apple-a2696-64gb-sqlhj5jqyhj" TargetMode="External" Id="rId60"/><Relationship Type="http://schemas.openxmlformats.org/officeDocument/2006/relationships/hyperlink" Target="https://lista.mercadolivre.com.br/tablet-apple-a2696-64gb-sd6k9fl2f4t" TargetMode="External" Id="rId61"/><Relationship Type="http://schemas.openxmlformats.org/officeDocument/2006/relationships/hyperlink" Target="https://lista.mercadolivre.com.br/tablet-apple-a2696-64gb-shqv66ndwnp" TargetMode="External" Id="rId62"/><Relationship Type="http://schemas.openxmlformats.org/officeDocument/2006/relationships/hyperlink" Target="https://lista.mercadolivre.com.br/tablet-apple-a2696-64gb-smtcwjk057c" TargetMode="External" Id="rId63"/><Relationship Type="http://schemas.openxmlformats.org/officeDocument/2006/relationships/hyperlink" Target="https://lista.mercadolivre.com.br/tablet-apple-a2696-64gb-sq2h7vx5x94" TargetMode="External" Id="rId64"/><Relationship Type="http://schemas.openxmlformats.org/officeDocument/2006/relationships/hyperlink" Target="https://lista.mercadolivre.com.br/tablet-apple-a2696-64gb-sf9c6q6xy4m" TargetMode="External" Id="rId65"/><Relationship Type="http://schemas.openxmlformats.org/officeDocument/2006/relationships/hyperlink" Target="https://lista.mercadolivre.com.br/tablet-apple-a2696-64gb-sj16760vh70" TargetMode="External" Id="rId66"/><Relationship Type="http://schemas.openxmlformats.org/officeDocument/2006/relationships/hyperlink" Target="https://lista.mercadolivre.com.br/tablet-apple-a2696-64gb-sjndc27r6vq" TargetMode="External" Id="rId67"/><Relationship Type="http://schemas.openxmlformats.org/officeDocument/2006/relationships/hyperlink" Target="https://lista.mercadolivre.com.br/tablet-apple-a2696-64gb-smxy2w2twrt" TargetMode="External" Id="rId68"/><Relationship Type="http://schemas.openxmlformats.org/officeDocument/2006/relationships/hyperlink" Target="https://lista.mercadolivre.com.br/tablet-apple-a2696-64gb-sd5vf6pm4hw" TargetMode="External" Id="rId69"/><Relationship Type="http://schemas.openxmlformats.org/officeDocument/2006/relationships/hyperlink" Target="https://lista.mercadolivre.com.br/tablet-apple-a2696-64gb-sh6kjlf6tvx" TargetMode="External" Id="rId70"/><Relationship Type="http://schemas.openxmlformats.org/officeDocument/2006/relationships/hyperlink" Target="https://lista.mercadolivre.com.br/tablet-apple-a2696-64gb-scwcr92l0dh" TargetMode="External" Id="rId71"/><Relationship Type="http://schemas.openxmlformats.org/officeDocument/2006/relationships/hyperlink" Target="https://lista.mercadolivre.com.br/tablet-apple-a2696-64gb-srvy20whf4n" TargetMode="External" Id="rId72"/><Relationship Type="http://schemas.openxmlformats.org/officeDocument/2006/relationships/hyperlink" Target="https://lista.mercadolivre.com.br/tablet-apple-a2696-64gb-sf0yw7njl6q" TargetMode="External" Id="rId73"/><Relationship Type="http://schemas.openxmlformats.org/officeDocument/2006/relationships/hyperlink" Target="https://lista.mercadolivre.com.br/tablet-apple-a2696-64gb-sdljw54pdqg" TargetMode="External" Id="rId74"/><Relationship Type="http://schemas.openxmlformats.org/officeDocument/2006/relationships/hyperlink" Target="https://lista.mercadolivre.com.br/tablet-apple-a2696-64gb-slq7ccpw6qk" TargetMode="External" Id="rId75"/><Relationship Type="http://schemas.openxmlformats.org/officeDocument/2006/relationships/hyperlink" Target="https://lista.mercadolivre.com.br/tablet-apple-ipad-10-64gb-a2696" TargetMode="External" Id="rId76"/><Relationship Type="http://schemas.openxmlformats.org/officeDocument/2006/relationships/hyperlink" Target="https://lista.mercadolivre.com.br/tablet-apple-ipad-10-64gb-a2696" TargetMode="External" Id="rId77"/><Relationship Type="http://schemas.openxmlformats.org/officeDocument/2006/relationships/hyperlink" Target="https://lista.mercadolivre.com.br/tablet-apple-ipad-10-64gb-a2696" TargetMode="External" Id="rId78"/><Relationship Type="http://schemas.openxmlformats.org/officeDocument/2006/relationships/hyperlink" Target="https://lista.mercadolivre.com.br/tablet-apple-ipad-10-64gb-a2696" TargetMode="External" Id="rId79"/><Relationship Type="http://schemas.openxmlformats.org/officeDocument/2006/relationships/hyperlink" Target="https://lista.mercadolivre.com.br/tablet-apple-ipad-64gb-a2602-sj6l6k2qhhc" TargetMode="External" Id="rId80"/><Relationship Type="http://schemas.openxmlformats.org/officeDocument/2006/relationships/hyperlink" Target="https://lista.mercadolivre.com.br/tablet-apple-ipad-64gb-a2602-smkhqwy0xk4" TargetMode="External" Id="rId81"/><Relationship Type="http://schemas.openxmlformats.org/officeDocument/2006/relationships/hyperlink" Target="https://lista.mercadolivre.com.br/tablet-apple-ipad-64gb-a2602-sj9ljw6v77d" TargetMode="External" Id="rId82"/><Relationship Type="http://schemas.openxmlformats.org/officeDocument/2006/relationships/hyperlink" Target="https://lista.mercadolivre.com.br/tablet-apple-ipad-64gb-a2602-sl4xx0m71hh" TargetMode="External" Id="rId83"/><Relationship Type="http://schemas.openxmlformats.org/officeDocument/2006/relationships/hyperlink" Target="https://lista.mercadolivre.com.br/tablet-apple-ipad-64gb-a2602-scqy3jnwyjv" TargetMode="External" Id="rId84"/><Relationship Type="http://schemas.openxmlformats.org/officeDocument/2006/relationships/hyperlink" Target="https://lista.mercadolivre.com.br/tablet-apple-ipad-64gb-a2602-sjc6cq6wj27" TargetMode="External" Id="rId85"/><Relationship Type="http://schemas.openxmlformats.org/officeDocument/2006/relationships/hyperlink" Target="https://lista.mercadolivre.com.br/tablet-apple-ipad-64gb-a2602-sh0w9cyw70p" TargetMode="External" Id="rId86"/><Relationship Type="http://schemas.openxmlformats.org/officeDocument/2006/relationships/hyperlink" Target="https://lista.mercadolivre.com.br/tablet-apple-ipad-64gb-a2602-sh90x31g76p" TargetMode="External" Id="rId87"/><Relationship Type="http://schemas.openxmlformats.org/officeDocument/2006/relationships/hyperlink" Target="https://lista.mercadolivre.com.br/tablet-apple-ipad-64gb-a2602-sl9yg0fhmqw" TargetMode="External" Id="rId88"/><Relationship Type="http://schemas.openxmlformats.org/officeDocument/2006/relationships/hyperlink" Target="https://lista.mercadolivre.com.br/tablet-apple-ipad-64gb-a2602-sl193ql6xw3" TargetMode="External" Id="rId89"/><Relationship Type="http://schemas.openxmlformats.org/officeDocument/2006/relationships/hyperlink" Target="https://lista.mercadolivre.com.br/tablet-apple-ipad-64gb-a2602-sk7p74d4vdh" TargetMode="External" Id="rId90"/><Relationship Type="http://schemas.openxmlformats.org/officeDocument/2006/relationships/hyperlink" Target="https://lista.mercadolivre.com.br/tablet-apple-ipad-64gb-a2602-sm1qx064m6y" TargetMode="External" Id="rId91"/><Relationship Type="http://schemas.openxmlformats.org/officeDocument/2006/relationships/hyperlink" Target="https://lista.mercadolivre.com.br/tablet-apple-ipad-64gb-a2602-slk9nvwgnpk" TargetMode="External" Id="rId92"/><Relationship Type="http://schemas.openxmlformats.org/officeDocument/2006/relationships/hyperlink" Target="https://lista.mercadolivre.com.br/tablet-apple-ipad-64gb-a2602-sc202ly4yh7" TargetMode="External" Id="rId93"/><Relationship Type="http://schemas.openxmlformats.org/officeDocument/2006/relationships/hyperlink" Target="https://lista.mercadolivre.com.br/tablet-apple-ipad-64gb-a2602-sc0f60c7xr5" TargetMode="External" Id="rId94"/><Relationship Type="http://schemas.openxmlformats.org/officeDocument/2006/relationships/hyperlink" Target="https://lista.mercadolivre.com.br/tablet-apple-ipad-64gb-a2602-scx30q6j253" TargetMode="External" Id="rId95"/><Relationship Type="http://schemas.openxmlformats.org/officeDocument/2006/relationships/hyperlink" Target="https://lista.mercadolivre.com.br/tablet-apple-ipad-64gb-a2602-sjxmf7j9770" TargetMode="External" Id="rId96"/><Relationship Type="http://schemas.openxmlformats.org/officeDocument/2006/relationships/hyperlink" Target="https://lista.mercadolivre.com.br/tablet-apple-ipad-64gb-a2602-sj3149dh2q2" TargetMode="External" Id="rId97"/><Relationship Type="http://schemas.openxmlformats.org/officeDocument/2006/relationships/hyperlink" Target="https://lista.mercadolivre.com.br/tablet-apple-ipad-64gb-a2602-sff4vwq7y91" TargetMode="External" Id="rId98"/><Relationship Type="http://schemas.openxmlformats.org/officeDocument/2006/relationships/hyperlink" Target="https://lista.mercadolivre.com.br/tablet-apple-ipad-64gb-a2602-sjr790tyt6f" TargetMode="External" Id="rId99"/><Relationship Type="http://schemas.openxmlformats.org/officeDocument/2006/relationships/hyperlink" Target="https://lista.mercadolivre.com.br/tablet-apple-ipad-64gb-a2602-sk6pp25v4c5" TargetMode="External" Id="rId100"/><Relationship Type="http://schemas.openxmlformats.org/officeDocument/2006/relationships/hyperlink" Target="https://lista.mercadolivre.com.br/tablet-apple-ipad-64gb-a2602-sht2fpk4g43" TargetMode="External" Id="rId101"/><Relationship Type="http://schemas.openxmlformats.org/officeDocument/2006/relationships/hyperlink" Target="https://lista.mercadolivre.com.br/tablet-apple-ipad-64gb-a2602-sly5f673l6r" TargetMode="External" Id="rId102"/><Relationship Type="http://schemas.openxmlformats.org/officeDocument/2006/relationships/hyperlink" Target="https://lista.mercadolivre.com.br/tablet-apple-ipad-64gb-a2602-sckjvqjl6d5" TargetMode="External" Id="rId103"/><Relationship Type="http://schemas.openxmlformats.org/officeDocument/2006/relationships/hyperlink" Target="https://lista.mercadolivre.com.br/tablet-apple-ipad-64gb-a2602-slv34lfwf7v" TargetMode="External" Id="rId104"/><Relationship Type="http://schemas.openxmlformats.org/officeDocument/2006/relationships/hyperlink" Target="https://lista.mercadolivre.com.br/tablet-apple-ipad-64gb-a2602-sd6pyg3x024" TargetMode="External" Id="rId105"/><Relationship Type="http://schemas.openxmlformats.org/officeDocument/2006/relationships/hyperlink" Target="https://lista.mercadolivre.com.br/tablet-apple-ipad-64gb-a2602-sd4rll6w7tg" TargetMode="External" Id="rId106"/><Relationship Type="http://schemas.openxmlformats.org/officeDocument/2006/relationships/hyperlink" Target="https://lista.mercadolivre.com.br/tablet-apple-ipad-64gb-a2602-sg9m57dkhm3" TargetMode="External" Id="rId107"/><Relationship Type="http://schemas.openxmlformats.org/officeDocument/2006/relationships/hyperlink" Target="https://lista.mercadolivre.com.br/tablet-apple-ipad-64gb-a2602-sg93p4nl7c5" TargetMode="External" Id="rId108"/><Relationship Type="http://schemas.openxmlformats.org/officeDocument/2006/relationships/hyperlink" Target="https://lista.mercadolivre.com.br/tablet-apple-ipad-64gb-a2602-smw2yj0jcqd" TargetMode="External" Id="rId109"/><Relationship Type="http://schemas.openxmlformats.org/officeDocument/2006/relationships/hyperlink" Target="https://lista.mercadolivre.com.br/tablet-apple-ipad-64gb-a2602-skc7w0yyqxy" TargetMode="External" Id="rId110"/><Relationship Type="http://schemas.openxmlformats.org/officeDocument/2006/relationships/hyperlink" Target="https://lista.mercadolivre.com.br/tablet-apple-ipad-64gb-a2602-sldf2f0wq1t" TargetMode="External" Id="rId111"/><Relationship Type="http://schemas.openxmlformats.org/officeDocument/2006/relationships/hyperlink" Target="https://lista.mercadolivre.com.br/tablet-apple-ipad-64gb-a2602-skq01fyr572" TargetMode="External" Id="rId112"/><Relationship Type="http://schemas.openxmlformats.org/officeDocument/2006/relationships/hyperlink" Target="https://lista.mercadolivre.com.br/tablet-apple-ipad-64gb-a2602-sf2726y7rw0" TargetMode="External" Id="rId113"/><Relationship Type="http://schemas.openxmlformats.org/officeDocument/2006/relationships/hyperlink" Target="https://lista.mercadolivre.com.br/tablet-apple-ipad-64gb-a2602-sm9mxyqqh9r" TargetMode="External" Id="rId114"/><Relationship Type="http://schemas.openxmlformats.org/officeDocument/2006/relationships/hyperlink" Target="https://lista.mercadolivre.com.br/tablet-apple-ipad-64gb-a2602-shgg6t6tldq" TargetMode="External" Id="rId115"/><Relationship Type="http://schemas.openxmlformats.org/officeDocument/2006/relationships/hyperlink" Target="https://lista.mercadolivre.com.br/tablet-apple-ipad-64gb-a2602-sg6l5f797j9" TargetMode="External" Id="rId116"/><Relationship Type="http://schemas.openxmlformats.org/officeDocument/2006/relationships/hyperlink" Target="https://lista.mercadolivre.com.br/tablet-apple-ipad-64gb-a2602-scwm74yxvl4" TargetMode="External" Id="rId117"/><Relationship Type="http://schemas.openxmlformats.org/officeDocument/2006/relationships/hyperlink" Target="https://lista.mercadolivre.com.br/tablet-apple-ipad-64gb-a2602-scwncw67yc4" TargetMode="External" Id="rId118"/><Relationship Type="http://schemas.openxmlformats.org/officeDocument/2006/relationships/hyperlink" Target="https://lista.mercadolivre.com.br/tablet-apple-ipad-64gb-a2602-smxtdkj3f33" TargetMode="External" Id="rId119"/><Relationship Type="http://schemas.openxmlformats.org/officeDocument/2006/relationships/hyperlink" Target="https://lista.mercadolivre.com.br/tablet-apple-ipad-64gb-a2602-sc6h62hh2dr" TargetMode="External" Id="rId120"/><Relationship Type="http://schemas.openxmlformats.org/officeDocument/2006/relationships/hyperlink" Target="https://lista.mercadolivre.com.br/tablet-apple-ipad-64gb-a2602-sc6j466yp37" TargetMode="External" Id="rId121"/><Relationship Type="http://schemas.openxmlformats.org/officeDocument/2006/relationships/hyperlink" Target="https://lista.mercadolivre.com.br/tablet-apple-ipad-64gb-a2602-sj9mlw264fw" TargetMode="External" Id="rId122"/><Relationship Type="http://schemas.openxmlformats.org/officeDocument/2006/relationships/hyperlink" Target="https://lista.mercadolivre.com.br/tablet-apple-ipad-64gb-a2602-smt99lhyh5x" TargetMode="External" Id="rId123"/><Relationship Type="http://schemas.openxmlformats.org/officeDocument/2006/relationships/hyperlink" Target="https://lista.mercadolivre.com.br/tablet-apple-ipad-64gb-a2602-slq20x6mcpx" TargetMode="External" Id="rId124"/><Relationship Type="http://schemas.openxmlformats.org/officeDocument/2006/relationships/hyperlink" Target="https://lista.mercadolivre.com.br/tablet-apple-ipad-64gb-a2602-sj1xgvwjhj4" TargetMode="External" Id="rId125"/><Relationship Type="http://schemas.openxmlformats.org/officeDocument/2006/relationships/hyperlink" Target="https://lista.mercadolivre.com.br/tablet-apple-ipad-64gb-a2602-sf73mxgwqqp" TargetMode="External" Id="rId126"/><Relationship Type="http://schemas.openxmlformats.org/officeDocument/2006/relationships/hyperlink" Target="https://lista.mercadolivre.com.br/tablet-apple-ipad-64gb-a2602-sclxtd60tt6" TargetMode="External" Id="rId127"/><Relationship Type="http://schemas.openxmlformats.org/officeDocument/2006/relationships/hyperlink" Target="https://lista.mercadolivre.com.br/tablet-apple-ipad-64gb-a2602-sc12th43j5x" TargetMode="External" Id="rId128"/><Relationship Type="http://schemas.openxmlformats.org/officeDocument/2006/relationships/hyperlink" Target="https://lista.mercadolivre.com.br/tablet-apple-ipad-64gb-a2602-sc0m7x2ngpg" TargetMode="External" Id="rId129"/><Relationship Type="http://schemas.openxmlformats.org/officeDocument/2006/relationships/hyperlink" Target="https://lista.mercadolivre.com.br/tablet-apple-ipad-64gb-a2602-sdlp7pwk2vm" TargetMode="External" Id="rId130"/><Relationship Type="http://schemas.openxmlformats.org/officeDocument/2006/relationships/hyperlink" Target="https://lista.mercadolivre.com.br/tablet-apple-ipad-64gb-a2602-sk4m2ljn4fk" TargetMode="External" Id="rId131"/><Relationship Type="http://schemas.openxmlformats.org/officeDocument/2006/relationships/hyperlink" Target="https://lista.mercadolivre.com.br/tablet-apple-ipad-64gb-a2602-scr7wr3gwhg" TargetMode="External" Id="rId132"/><Relationship Type="http://schemas.openxmlformats.org/officeDocument/2006/relationships/hyperlink" Target="https://lista.mercadolivre.com.br/tablet-apple-ipad-64gb-a2602-sdjv6k07lyn" TargetMode="External" Id="rId133"/><Relationship Type="http://schemas.openxmlformats.org/officeDocument/2006/relationships/hyperlink" Target="https://lista.mercadolivre.com.br/tablet-apple-ipad-64gb-a2602-sgpy2k19jx3" TargetMode="External" Id="rId134"/><Relationship Type="http://schemas.openxmlformats.org/officeDocument/2006/relationships/hyperlink" Target="https://lista.mercadolivre.com.br/tablet-apple-ipad-64gb-a2602-sfwhv22q3l5" TargetMode="External" Id="rId135"/><Relationship Type="http://schemas.openxmlformats.org/officeDocument/2006/relationships/hyperlink" Target="https://lista.mercadolivre.com.br/tablet-apple-ipad-64gb-a2602-sf7n1vjfyvn" TargetMode="External" Id="rId136"/><Relationship Type="http://schemas.openxmlformats.org/officeDocument/2006/relationships/hyperlink" Target="https://lista.mercadolivre.com.br/tablet-apple-ipad-64gb-a2602-shr74nw0jwr" TargetMode="External" Id="rId137"/><Relationship Type="http://schemas.openxmlformats.org/officeDocument/2006/relationships/hyperlink" Target="https://lista.mercadolivre.com.br/tablet-apple-ipad-64gb-a2602-sf9j26yq5dp" TargetMode="External" Id="rId138"/><Relationship Type="http://schemas.openxmlformats.org/officeDocument/2006/relationships/hyperlink" Target="https://lista.mercadolivre.com.br/tablet-apple-ipad-64gb-a2602-sky0t57md6t" TargetMode="External" Id="rId139"/></Relationships>
</file>

<file path=xl/worksheets/_rels/sheet19.xml.rels><Relationships xmlns="http://schemas.openxmlformats.org/package/2006/relationships"><Relationship Type="http://schemas.openxmlformats.org/officeDocument/2006/relationships/hyperlink" Target="https://lista.mercadolivre.com.br/lustres-e-arandelas-antigas-usadas" TargetMode="External" Id="rId1"/><Relationship Type="http://schemas.openxmlformats.org/officeDocument/2006/relationships/hyperlink" Target="https://lista.mercadolivre.com.br/pecas-artesanais-metal-pistoes-metalicos-045" TargetMode="External" Id="rId2"/><Relationship Type="http://schemas.openxmlformats.org/officeDocument/2006/relationships/hyperlink" Target="https://lista.mercadolivre.com.br/partes-pecas-usadas-ferro-moinhos-cafe" TargetMode="External" Id="rId3"/><Relationship Type="http://schemas.openxmlformats.org/officeDocument/2006/relationships/hyperlink" Target="https://lista.mercadolivre.com.br/artefatos-metal-antigos-decoracao-usados-volume" TargetMode="External" Id="rId4"/><Relationship Type="http://schemas.openxmlformats.org/officeDocument/2006/relationships/hyperlink" Target="https://lista.mercadolivre.com.br/letreiros-metal-antigos-volume-volumes-045" TargetMode="External" Id="rId5"/></Relationships>
</file>

<file path=xl/worksheets/_rels/sheet20.xml.rels><Relationships xmlns="http://schemas.openxmlformats.org/package/2006/relationships"><Relationship Type="http://schemas.openxmlformats.org/officeDocument/2006/relationships/hyperlink" Target="https://lista.mercadolivre.com.br/bolsa-feminina-calvin-klein-guess-tommy" TargetMode="External" Id="rId1"/><Relationship Type="http://schemas.openxmlformats.org/officeDocument/2006/relationships/hyperlink" Target="https://lista.mercadolivre.com.br/bolsa-feminina-calvin-klein-guess-tommy" TargetMode="External" Id="rId2"/><Relationship Type="http://schemas.openxmlformats.org/officeDocument/2006/relationships/hyperlink" Target="https://lista.mercadolivre.com.br/chapeu-cowboy-country-rodeio" TargetMode="External" Id="rId3"/><Relationship Type="http://schemas.openxmlformats.org/officeDocument/2006/relationships/hyperlink" Target="https://lista.mercadolivre.com.br/bolsa-balenciaga-le-cagole-xs" TargetMode="External" Id="rId4"/><Relationship Type="http://schemas.openxmlformats.org/officeDocument/2006/relationships/hyperlink" Target="https://lista.mercadolivre.com.br/bolsa-saint-laurent-cassandre-matelasse-preta" TargetMode="External" Id="rId5"/><Relationship Type="http://schemas.openxmlformats.org/officeDocument/2006/relationships/hyperlink" Target="https://lista.mercadolivre.com.br/bolsa-chloe-original-usada" TargetMode="External" Id="rId6"/><Relationship Type="http://schemas.openxmlformats.org/officeDocument/2006/relationships/hyperlink" Target="https://lista.mercadolivre.com.br/bolsa-jacquemus-le-chiquito-mini" TargetMode="External" Id="rId7"/><Relationship Type="http://schemas.openxmlformats.org/officeDocument/2006/relationships/hyperlink" Target="https://lista.mercadolivre.com.br/sapato-mach-mach-scarpin-fantasy-aplicacao" TargetMode="External" Id="rId8"/><Relationship Type="http://schemas.openxmlformats.org/officeDocument/2006/relationships/hyperlink" Target="https://lista.mercadolivre.com.br/bolsa-jacquemus-le-chiquito-tote-bag" TargetMode="External" Id="rId9"/><Relationship Type="http://schemas.openxmlformats.org/officeDocument/2006/relationships/hyperlink" Target="https://lista.mercadolivre.com.br/calcados-balenciaga-adidas-triple-sneakers-996" TargetMode="External" Id="rId10"/><Relationship Type="http://schemas.openxmlformats.org/officeDocument/2006/relationships/hyperlink" Target="https://lista.mercadolivre.com.br/sapato-valentino-garavani-tan-go-platform" TargetMode="External" Id="rId11"/><Relationship Type="http://schemas.openxmlformats.org/officeDocument/2006/relationships/hyperlink" Target="https://lista.mercadolivre.com.br/bolsa-mach-mach-samantha-mini-cristais" TargetMode="External" Id="rId12"/><Relationship Type="http://schemas.openxmlformats.org/officeDocument/2006/relationships/hyperlink" Target="https://lista.mercadolivre.com.br/tenis-lanvin-bumper-cadarco-cores-bege" TargetMode="External" Id="rId13"/><Relationship Type="http://schemas.openxmlformats.org/officeDocument/2006/relationships/hyperlink" Target="https://lista.mercadolivre.com.br/sapatenis-balenciaga-track-lace-up-mules" TargetMode="External" Id="rId14"/><Relationship Type="http://schemas.openxmlformats.org/officeDocument/2006/relationships/hyperlink" Target="https://lista.mercadolivre.com.br/cinto-couro-alexander-mcqueen-skull-eyelet" TargetMode="External" Id="rId15"/><Relationship Type="http://schemas.openxmlformats.org/officeDocument/2006/relationships/hyperlink" Target="https://lista.mercadolivre.com.br/tenis-balenciaga-speed-pull-on-tam" TargetMode="External" Id="rId16"/><Relationship Type="http://schemas.openxmlformats.org/officeDocument/2006/relationships/hyperlink" Target="https://lista.mercadolivre.com.br/tenis-salvatore-ferragamo-gardena-sock-sneakers" TargetMode="External" Id="rId17"/><Relationship Type="http://schemas.openxmlformats.org/officeDocument/2006/relationships/hyperlink" Target="https://lista.mercadolivre.com.br/tenis-alexander-mcqueen-colour-block-solado" TargetMode="External" Id="rId18"/><Relationship Type="http://schemas.openxmlformats.org/officeDocument/2006/relationships/hyperlink" Target="https://lista.mercadolivre.com.br/calcados-isabel-marant-calfhigh-suede-boots" TargetMode="External" Id="rId19"/><Relationship Type="http://schemas.openxmlformats.org/officeDocument/2006/relationships/hyperlink" Target="https://lista.mercadolivre.com.br/tenis-chloe-whipstitch-trim-trainers-acabamento" TargetMode="External" Id="rId20"/><Relationship Type="http://schemas.openxmlformats.org/officeDocument/2006/relationships/hyperlink" Target="https://lista.mercadolivre.com.br/bolsa-off-white-block-pouch-quote" TargetMode="External" Id="rId21"/><Relationship Type="http://schemas.openxmlformats.org/officeDocument/2006/relationships/hyperlink" Target="https://lista.mercadolivre.com.br/tenis-versace-medusa-laminate-cano-baixo" TargetMode="External" Id="rId22"/><Relationship Type="http://schemas.openxmlformats.org/officeDocument/2006/relationships/hyperlink" Target="https://lista.mercadolivre.com.br/tenis-golden-goose-star-patch-lace" TargetMode="External" Id="rId23"/><Relationship Type="http://schemas.openxmlformats.org/officeDocument/2006/relationships/hyperlink" Target="https://lista.mercadolivre.com.br/tenis-golden-goose-white-sstar-keep" TargetMode="External" Id="rId24"/><Relationship Type="http://schemas.openxmlformats.org/officeDocument/2006/relationships/hyperlink" Target="https://lista.mercadolivre.com.br/calcados-femininos-summer-walk-loro-piana" TargetMode="External" Id="rId25"/><Relationship Type="http://schemas.openxmlformats.org/officeDocument/2006/relationships/hyperlink" Target="https://lista.mercadolivre.com.br/sapato-dolce-gabbana-slingback-logo-gravado" TargetMode="External" Id="rId26"/><Relationship Type="http://schemas.openxmlformats.org/officeDocument/2006/relationships/hyperlink" Target="https://lista.mercadolivre.com.br/tenis-off-white-vulcanized-low-top" TargetMode="External" Id="rId27"/><Relationship Type="http://schemas.openxmlformats.org/officeDocument/2006/relationships/hyperlink" Target="https://lista.mercadolivre.com.br/tenis-palm-angels-snow-cano-baixo" TargetMode="External" Id="rId28"/><Relationship Type="http://schemas.openxmlformats.org/officeDocument/2006/relationships/hyperlink" Target="https://lista.mercadolivre.com.br/sapato-aquazzura-scarpin-bow-tie-salto" TargetMode="External" Id="rId29"/><Relationship Type="http://schemas.openxmlformats.org/officeDocument/2006/relationships/hyperlink" Target="https://lista.mercadolivre.com.br/tenis-unseen-footwear-marais-camurca-couro" TargetMode="External" Id="rId30"/><Relationship Type="http://schemas.openxmlformats.org/officeDocument/2006/relationships/hyperlink" Target="https://lista.mercadolivre.com.br/sapato-salvatore-ferragamo-oxford-bordado-tam" TargetMode="External" Id="rId31"/><Relationship Type="http://schemas.openxmlformats.org/officeDocument/2006/relationships/hyperlink" Target="https://lista.mercadolivre.com.br/bolsa-versace-baroque-print-neoprene-belt" TargetMode="External" Id="rId32"/><Relationship Type="http://schemas.openxmlformats.org/officeDocument/2006/relationships/hyperlink" Target="https://lista.mercadolivre.com.br/bolsa-staud-moon-leather-tote-bag" TargetMode="External" Id="rId33"/><Relationship Type="http://schemas.openxmlformats.org/officeDocument/2006/relationships/hyperlink" Target="https://lista.mercadolivre.com.br/tenis-off-white-vulcanized-cano-baixo" TargetMode="External" Id="rId34"/><Relationship Type="http://schemas.openxmlformats.org/officeDocument/2006/relationships/hyperlink" Target="https://lista.mercadolivre.com.br/bolsa-marc-jacobs-re-edition-hillier" TargetMode="External" Id="rId35"/><Relationship Type="http://schemas.openxmlformats.org/officeDocument/2006/relationships/hyperlink" Target="https://lista.mercadolivre.com.br/tenis-off-white-tam-45-045" TargetMode="External" Id="rId36"/><Relationship Type="http://schemas.openxmlformats.org/officeDocument/2006/relationships/hyperlink" Target="https://lista.mercadolivre.com.br/tenis-off-white-tam-41-045" TargetMode="External" Id="rId37"/><Relationship Type="http://schemas.openxmlformats.org/officeDocument/2006/relationships/hyperlink" Target="https://lista.mercadolivre.com.br/tenis-masculino-of-white-tam-41" TargetMode="External" Id="rId38"/><Relationship Type="http://schemas.openxmlformats.org/officeDocument/2006/relationships/hyperlink" Target="https://lista.mercadolivre.com.br/tenis-masculino-off-white-tam-42" TargetMode="External" Id="rId39"/><Relationship Type="http://schemas.openxmlformats.org/officeDocument/2006/relationships/hyperlink" Target="https://lista.mercadolivre.com.br/tenis-off-white-tam-44-045" TargetMode="External" Id="rId40"/><Relationship Type="http://schemas.openxmlformats.org/officeDocument/2006/relationships/hyperlink" Target="https://lista.mercadolivre.com.br/sapato-versace-medusa-aevitas-platform-pumps" TargetMode="External" Id="rId41"/><Relationship Type="http://schemas.openxmlformats.org/officeDocument/2006/relationships/hyperlink" Target="https://lista.mercadolivre.com.br/calcados-christian-louboutin-paris-996" TargetMode="External" Id="rId42"/><Relationship Type="http://schemas.openxmlformats.org/officeDocument/2006/relationships/hyperlink" Target="https://lista.mercadolivre.com.br/bolsa-zadig-voltaire-rockyssime-shoulder-bag" TargetMode="External" Id="rId43"/><Relationship Type="http://schemas.openxmlformats.org/officeDocument/2006/relationships/hyperlink" Target="https://lista.mercadolivre.com.br/calcados-versace-medusa-aevitas-platform-pumps" TargetMode="External" Id="rId44"/><Relationship Type="http://schemas.openxmlformats.org/officeDocument/2006/relationships/hyperlink" Target="https://lista.mercadolivre.com.br/bota-versace-bota-cano-medio-salto" TargetMode="External" Id="rId45"/><Relationship Type="http://schemas.openxmlformats.org/officeDocument/2006/relationships/hyperlink" Target="https://lista.mercadolivre.com.br/chuteira-adidas-gw4574-predator-accuracy-cores" TargetMode="External" Id="rId46"/><Relationship Type="http://schemas.openxmlformats.org/officeDocument/2006/relationships/hyperlink" Target="https://lista.mercadolivre.com.br/bolsa-cult-gaia-045" TargetMode="External" Id="rId47"/><Relationship Type="http://schemas.openxmlformats.org/officeDocument/2006/relationships/hyperlink" Target="https://lista.mercadolivre.com.br/bolsa-versace-jeans-couture-bolsa-transversal" TargetMode="External" Id="rId48"/><Relationship Type="http://schemas.openxmlformats.org/officeDocument/2006/relationships/hyperlink" Target="https://lista.mercadolivre.com.br/tenis-off-white-tam-43-045" TargetMode="External" Id="rId49"/><Relationship Type="http://schemas.openxmlformats.org/officeDocument/2006/relationships/hyperlink" Target="https://lista.mercadolivre.com.br/tenis-off-white-tam-43-045" TargetMode="External" Id="rId50"/><Relationship Type="http://schemas.openxmlformats.org/officeDocument/2006/relationships/hyperlink" Target="https://lista.mercadolivre.com.br/cinto-couro-salvatore-ferragamo-gravacao-gancini" TargetMode="External" Id="rId51"/><Relationship Type="http://schemas.openxmlformats.org/officeDocument/2006/relationships/hyperlink" Target="https://lista.mercadolivre.com.br/sapato-versace-barocco-couro-tam-41" TargetMode="External" Id="rId52"/><Relationship Type="http://schemas.openxmlformats.org/officeDocument/2006/relationships/hyperlink" Target="https://lista.mercadolivre.com.br/calcados-isabel-marant-bethy-touch-strap" TargetMode="External" Id="rId53"/><Relationship Type="http://schemas.openxmlformats.org/officeDocument/2006/relationships/hyperlink" Target="https://lista.mercadolivre.com.br/calcados-philippe-model-paris-045" TargetMode="External" Id="rId54"/><Relationship Type="http://schemas.openxmlformats.org/officeDocument/2006/relationships/hyperlink" Target="https://lista.mercadolivre.com.br/bolsa-seebychloe-996" TargetMode="External" Id="rId55"/><Relationship Type="http://schemas.openxmlformats.org/officeDocument/2006/relationships/hyperlink" Target="https://lista.mercadolivre.com.br/bolsa-love-moschino-996" TargetMode="External" Id="rId56"/><Relationship Type="http://schemas.openxmlformats.org/officeDocument/2006/relationships/hyperlink" Target="https://lista.mercadolivre.com.br/bolsa-see-by-chloe-small-hana" TargetMode="External" Id="rId57"/><Relationship Type="http://schemas.openxmlformats.org/officeDocument/2006/relationships/hyperlink" Target="https://lista.mercadolivre.com.br/bota-moon-boot-icon-white-nylon" TargetMode="External" Id="rId58"/><Relationship Type="http://schemas.openxmlformats.org/officeDocument/2006/relationships/hyperlink" Target="https://lista.mercadolivre.com.br/tenis-versace-couture-jeans-estampa-fondo" TargetMode="External" Id="rId59"/><Relationship Type="http://schemas.openxmlformats.org/officeDocument/2006/relationships/hyperlink" Target="https://lista.mercadolivre.com.br/bolsa-see-by-chloe-bucket-aplicacao" TargetMode="External" Id="rId60"/><Relationship Type="http://schemas.openxmlformats.org/officeDocument/2006/relationships/hyperlink" Target="https://lista.mercadolivre.com.br/bota-casadei-camurca-plataforma-salto-15" TargetMode="External" Id="rId61"/><Relationship Type="http://schemas.openxmlformats.org/officeDocument/2006/relationships/hyperlink" Target="https://lista.mercadolivre.com.br/bolsa-emporio-armani-tote-bag-estampa" TargetMode="External" Id="rId62"/><Relationship Type="http://schemas.openxmlformats.org/officeDocument/2006/relationships/hyperlink" Target="https://lista.mercadolivre.com.br/bolsa-feminina-emporio-armani-996" TargetMode="External" Id="rId63"/><Relationship Type="http://schemas.openxmlformats.org/officeDocument/2006/relationships/hyperlink" Target="https://lista.mercadolivre.com.br/cinto-couro-salvatore-ferragamo-placa-dourada" TargetMode="External" Id="rId64"/><Relationship Type="http://schemas.openxmlformats.org/officeDocument/2006/relationships/hyperlink" Target="https://lista.mercadolivre.com.br/bolsa-emporio-armani-bolsa-tote-couro" TargetMode="External" Id="rId65"/><Relationship Type="http://schemas.openxmlformats.org/officeDocument/2006/relationships/hyperlink" Target="https://lista.mercadolivre.com.br/bota-moon-boot-protecht-hi-top" TargetMode="External" Id="rId66"/><Relationship Type="http://schemas.openxmlformats.org/officeDocument/2006/relationships/hyperlink" Target="https://lista.mercadolivre.com.br/bolsa-tory-burch-996" TargetMode="External" Id="rId67"/><Relationship Type="http://schemas.openxmlformats.org/officeDocument/2006/relationships/hyperlink" Target="https://lista.mercadolivre.com.br/tenis-masculino-tam-42-premiata-045" TargetMode="External" Id="rId68"/><Relationship Type="http://schemas.openxmlformats.org/officeDocument/2006/relationships/hyperlink" Target="https://lista.mercadolivre.com.br/tenis-feminino-tam-36-mizzuno-sorayama" TargetMode="External" Id="rId69"/><Relationship Type="http://schemas.openxmlformats.org/officeDocument/2006/relationships/hyperlink" Target="https://lista.mercadolivre.com.br/chinelo-versace-flat-slide-placa-dourada" TargetMode="External" Id="rId70"/><Relationship Type="http://schemas.openxmlformats.org/officeDocument/2006/relationships/hyperlink" Target="https://lista.mercadolivre.com.br/sapato-sandro-mocassim-iron-solado-chunky" TargetMode="External" Id="rId71"/><Relationship Type="http://schemas.openxmlformats.org/officeDocument/2006/relationships/hyperlink" Target="https://lista.mercadolivre.com.br/bolsa-michael-kors-susan-tam-preta" TargetMode="External" Id="rId72"/><Relationship Type="http://schemas.openxmlformats.org/officeDocument/2006/relationships/hyperlink" Target="https://lista.mercadolivre.com.br/tenis-diesel-cano-baixo-tyche-recortes" TargetMode="External" Id="rId73"/><Relationship Type="http://schemas.openxmlformats.org/officeDocument/2006/relationships/hyperlink" Target="https://lista.mercadolivre.com.br/bolsa-furla-996" TargetMode="External" Id="rId74"/><Relationship Type="http://schemas.openxmlformats.org/officeDocument/2006/relationships/hyperlink" Target="https://lista.mercadolivre.com.br/tenis-masculino-armani-couro-tam-40" TargetMode="External" Id="rId75"/><Relationship Type="http://schemas.openxmlformats.org/officeDocument/2006/relationships/hyperlink" Target="https://lista.mercadolivre.com.br/bolsa-le-pliage-045" TargetMode="External" Id="rId76"/><Relationship Type="http://schemas.openxmlformats.org/officeDocument/2006/relationships/hyperlink" Target="https://lista.mercadolivre.com.br/bolsa-karl-lagerfeld-bolsa-ombro-045" TargetMode="External" Id="rId77"/><Relationship Type="http://schemas.openxmlformats.org/officeDocument/2006/relationships/hyperlink" Target="https://lista.mercadolivre.com.br/chinelo-alexander-wang-anya-aplicacao-cristal" TargetMode="External" Id="rId78"/><Relationship Type="http://schemas.openxmlformats.org/officeDocument/2006/relationships/hyperlink" Target="https://lista.mercadolivre.com.br/tenis-diesel-cano-baixo-serendipity-cores" TargetMode="External" Id="rId79"/><Relationship Type="http://schemas.openxmlformats.org/officeDocument/2006/relationships/hyperlink" Target="https://lista.mercadolivre.com.br/bolsa-kate-spade-045" TargetMode="External" Id="rId80"/><Relationship Type="http://schemas.openxmlformats.org/officeDocument/2006/relationships/hyperlink" Target="https://lista.mercadolivre.com.br/chuteira-futebol-adidas-tam-42-speedportal" TargetMode="External" Id="rId81"/><Relationship Type="http://schemas.openxmlformats.org/officeDocument/2006/relationships/hyperlink" Target="https://lista.mercadolivre.com.br/bolsa-kurt-geiger-london-crochet-kensington" TargetMode="External" Id="rId82"/><Relationship Type="http://schemas.openxmlformats.org/officeDocument/2006/relationships/hyperlink" Target="https://lista.mercadolivre.com.br/tenis-new-balance-580-cano-baixo" TargetMode="External" Id="rId83"/><Relationship Type="http://schemas.openxmlformats.org/officeDocument/2006/relationships/hyperlink" Target="https://lista.mercadolivre.com.br/bota-neve-ash-montain-tam-41" TargetMode="External" Id="rId84"/><Relationship Type="http://schemas.openxmlformats.org/officeDocument/2006/relationships/hyperlink" Target="https://lista.mercadolivre.com.br/bolsa-feminina-stand-studio-045" TargetMode="External" Id="rId85"/><Relationship Type="http://schemas.openxmlformats.org/officeDocument/2006/relationships/hyperlink" Target="https://lista.mercadolivre.com.br/bolsa-longchamp-le-pliage-bolsa-tote" TargetMode="External" Id="rId86"/><Relationship Type="http://schemas.openxmlformats.org/officeDocument/2006/relationships/hyperlink" Target="https://lista.mercadolivre.com.br/bolsa-longchamp-le-pliage-bolsa-tote" TargetMode="External" Id="rId87"/><Relationship Type="http://schemas.openxmlformats.org/officeDocument/2006/relationships/hyperlink" Target="https://lista.mercadolivre.com.br/bolsa-longchamp-le-pliage-bolsa-tote" TargetMode="External" Id="rId88"/><Relationship Type="http://schemas.openxmlformats.org/officeDocument/2006/relationships/hyperlink" Target="https://lista.mercadolivre.com.br/bolsa-longchamp-medium-le-pilage-tote" TargetMode="External" Id="rId89"/><Relationship Type="http://schemas.openxmlformats.org/officeDocument/2006/relationships/hyperlink" Target="https://lista.mercadolivre.com.br/tenis-soulland-li-ning-furios-rider" TargetMode="External" Id="rId90"/><Relationship Type="http://schemas.openxmlformats.org/officeDocument/2006/relationships/hyperlink" Target="https://lista.mercadolivre.com.br/bolsa-longchamp-le-pliage-tam-paper" TargetMode="External" Id="rId91"/><Relationship Type="http://schemas.openxmlformats.org/officeDocument/2006/relationships/hyperlink" Target="https://lista.mercadolivre.com.br/bolsa-longchamp-le-pliage-bolsa-tote" TargetMode="External" Id="rId92"/><Relationship Type="http://schemas.openxmlformats.org/officeDocument/2006/relationships/hyperlink" Target="https://lista.mercadolivre.com.br/bolsa-tira-colo-pinko-045" TargetMode="External" Id="rId93"/><Relationship Type="http://schemas.openxmlformats.org/officeDocument/2006/relationships/hyperlink" Target="https://lista.mercadolivre.com.br/bota-moon-boot-icon-low-preta" TargetMode="External" Id="rId94"/><Relationship Type="http://schemas.openxmlformats.org/officeDocument/2006/relationships/hyperlink" Target="https://lista.mercadolivre.com.br/calcados-mochino-tam-36-045" TargetMode="External" Id="rId95"/><Relationship Type="http://schemas.openxmlformats.org/officeDocument/2006/relationships/hyperlink" Target="https://lista.mercadolivre.com.br/bolsa-tira-colo-festa-elleme-996" TargetMode="External" Id="rId96"/><Relationship Type="http://schemas.openxmlformats.org/officeDocument/2006/relationships/hyperlink" Target="https://lista.mercadolivre.com.br/calcados-bota-dr-martens-retorno-exportacao" TargetMode="External" Id="rId97"/><Relationship Type="http://schemas.openxmlformats.org/officeDocument/2006/relationships/hyperlink" Target="https://lista.mercadolivre.com.br/bolsa-love-moschino-ombro-logo-matelasse" TargetMode="External" Id="rId98"/><Relationship Type="http://schemas.openxmlformats.org/officeDocument/2006/relationships/hyperlink" Target="https://lista.mercadolivre.com.br/bota-dr-matens-feminina-tam-41" TargetMode="External" Id="rId99"/><Relationship Type="http://schemas.openxmlformats.org/officeDocument/2006/relationships/hyperlink" Target="https://lista.mercadolivre.com.br/sapato-coturno-karl-lagerfeld-tam-38" TargetMode="External" Id="rId100"/><Relationship Type="http://schemas.openxmlformats.org/officeDocument/2006/relationships/hyperlink" Target="https://lista.mercadolivre.com.br/vestuario-feminino-alice-olivia-chemise-dreema" TargetMode="External" Id="rId101"/><Relationship Type="http://schemas.openxmlformats.org/officeDocument/2006/relationships/hyperlink" Target="https://lista.mercadolivre.com.br/calcados-birkenstock-boston-vl-clogs-mule" TargetMode="External" Id="rId102"/><Relationship Type="http://schemas.openxmlformats.org/officeDocument/2006/relationships/hyperlink" Target="https://lista.mercadolivre.com.br/tenis-salomon-tam-44-045" TargetMode="External" Id="rId103"/><Relationship Type="http://schemas.openxmlformats.org/officeDocument/2006/relationships/hyperlink" Target="https://lista.mercadolivre.com.br/tenis-armani-exchange-cano-baixo-logo" TargetMode="External" Id="rId104"/><Relationship Type="http://schemas.openxmlformats.org/officeDocument/2006/relationships/hyperlink" Target="https://lista.mercadolivre.com.br/bolsa-karl-lagerfeld-996" TargetMode="External" Id="rId105"/><Relationship Type="http://schemas.openxmlformats.org/officeDocument/2006/relationships/hyperlink" Target="https://lista.mercadolivre.com.br/tenis-diesel-cano-baixo-patch-logo" TargetMode="External" Id="rId106"/><Relationship Type="http://schemas.openxmlformats.org/officeDocument/2006/relationships/hyperlink" Target="https://lista.mercadolivre.com.br/tenis-nike-air-force-07-tam" TargetMode="External" Id="rId107"/><Relationship Type="http://schemas.openxmlformats.org/officeDocument/2006/relationships/hyperlink" Target="https://lista.mercadolivre.com.br/tenis-adidas-gazelle-indoor-laranja-tam" TargetMode="External" Id="rId108"/><Relationship Type="http://schemas.openxmlformats.org/officeDocument/2006/relationships/hyperlink" Target="https://lista.mercadolivre.com.br/bolsa-karls-lagerfelda-145" TargetMode="External" Id="rId109"/><Relationship Type="http://schemas.openxmlformats.org/officeDocument/2006/relationships/hyperlink" Target="https://lista.mercadolivre.com.br/vestido-ralph-lauren-rrl-henley-mangas" TargetMode="External" Id="rId110"/><Relationship Type="http://schemas.openxmlformats.org/officeDocument/2006/relationships/hyperlink" Target="https://lista.mercadolivre.com.br/bolsa-diesel-pequena-996" TargetMode="External" Id="rId111"/><Relationship Type="http://schemas.openxmlformats.org/officeDocument/2006/relationships/hyperlink" Target="https://lista.mercadolivre.com.br/bolsa-tira-colo-mikael-kors-996" TargetMode="External" Id="rId112"/><Relationship Type="http://schemas.openxmlformats.org/officeDocument/2006/relationships/hyperlink" Target="https://lista.mercadolivre.com.br/sandalia-birkenstock-tam-39-996" TargetMode="External" Id="rId113"/><Relationship Type="http://schemas.openxmlformats.org/officeDocument/2006/relationships/hyperlink" Target="https://lista.mercadolivre.com.br/bolsa-mini-saint-barth-045" TargetMode="External" Id="rId114"/><Relationship Type="http://schemas.openxmlformats.org/officeDocument/2006/relationships/hyperlink" Target="https://lista.mercadolivre.com.br/tenis-scarpa-tam-40-045" TargetMode="External" Id="rId115"/><Relationship Type="http://schemas.openxmlformats.org/officeDocument/2006/relationships/hyperlink" Target="https://lista.mercadolivre.com.br/bolsa-tira-colo-themoire-996" TargetMode="External" Id="rId116"/><Relationship Type="http://schemas.openxmlformats.org/officeDocument/2006/relationships/hyperlink" Target="https://lista.mercadolivre.com.br/bota-donsje-shearling-ankle-boots-infantil" TargetMode="External" Id="rId117"/><Relationship Type="http://schemas.openxmlformats.org/officeDocument/2006/relationships/hyperlink" Target="https://lista.mercadolivre.com.br/chinelo-dolce-gabbanana-tam-36-996" TargetMode="External" Id="rId118"/><Relationship Type="http://schemas.openxmlformats.org/officeDocument/2006/relationships/hyperlink" Target="https://lista.mercadolivre.com.br/tenis-nike-tam-38-996" TargetMode="External" Id="rId119"/><Relationship Type="http://schemas.openxmlformats.org/officeDocument/2006/relationships/hyperlink" Target="https://lista.mercadolivre.com.br/tenis-mizzuno-tamnho-39-045" TargetMode="External" Id="rId120"/><Relationship Type="http://schemas.openxmlformats.org/officeDocument/2006/relationships/hyperlink" Target="https://lista.mercadolivre.com.br/bolsa-maison-kitsune-bolsa-tote-palais" TargetMode="External" Id="rId121"/><Relationship Type="http://schemas.openxmlformats.org/officeDocument/2006/relationships/hyperlink" Target="https://lista.mercadolivre.com.br/carteira-calvin-klein-must-dobravel-preta" TargetMode="External" Id="rId122"/><Relationship Type="http://schemas.openxmlformats.org/officeDocument/2006/relationships/hyperlink" Target="https://lista.mercadolivre.com.br/tenis-nike-renew-ride-cano-baixo" TargetMode="External" Id="rId123"/><Relationship Type="http://schemas.openxmlformats.org/officeDocument/2006/relationships/hyperlink" Target="https://lista.mercadolivre.com.br/chapeu-couro-sertanejo-feminino-van-palma" TargetMode="External" Id="rId124"/><Relationship Type="http://schemas.openxmlformats.org/officeDocument/2006/relationships/hyperlink" Target="https://lista.mercadolivre.com.br/cinto-couro-diesel-996" TargetMode="External" Id="rId125"/><Relationship Type="http://schemas.openxmlformats.org/officeDocument/2006/relationships/hyperlink" Target="https://lista.mercadolivre.com.br/tenis-asics-045" TargetMode="External" Id="rId126"/><Relationship Type="http://schemas.openxmlformats.org/officeDocument/2006/relationships/hyperlink" Target="https://lista.mercadolivre.com.br/bota-neve-esquiar-tam-34-996" TargetMode="External" Id="rId127"/><Relationship Type="http://schemas.openxmlformats.org/officeDocument/2006/relationships/hyperlink" Target="https://lista.mercadolivre.com.br/alca-bolsa-marc-jacobs-045" TargetMode="External" Id="rId128"/><Relationship Type="http://schemas.openxmlformats.org/officeDocument/2006/relationships/hyperlink" Target="https://lista.mercadolivre.com.br/carteira-diesel-045" TargetMode="External" Id="rId129"/><Relationship Type="http://schemas.openxmlformats.org/officeDocument/2006/relationships/hyperlink" Target="https://lista.mercadolivre.com.br/bota-galocha-feminina-tam-36-045" TargetMode="External" Id="rId130"/><Relationship Type="http://schemas.openxmlformats.org/officeDocument/2006/relationships/hyperlink" Target="https://lista.mercadolivre.com.br/chaveiro-off-white-045" TargetMode="External" Id="rId131"/><Relationship Type="http://schemas.openxmlformats.org/officeDocument/2006/relationships/hyperlink" Target="https://lista.mercadolivre.com.br/cinto-tecido-mini-rodini-cinto-elastico" TargetMode="External" Id="rId132"/><Relationship Type="http://schemas.openxmlformats.org/officeDocument/2006/relationships/hyperlink" Target="https://lista.mercadolivre.com.br/bolsa-pequena-tecido-arcs-045" TargetMode="External" Id="rId133"/><Relationship Type="http://schemas.openxmlformats.org/officeDocument/2006/relationships/hyperlink" Target="https://lista.mercadolivre.com.br/bolsa-diversas-891" TargetMode="External" Id="rId134"/><Relationship Type="http://schemas.openxmlformats.org/officeDocument/2006/relationships/hyperlink" Target="https://lista.mercadolivre.com.br/mala-891" TargetMode="External" Id="rId135"/><Relationship Type="http://schemas.openxmlformats.org/officeDocument/2006/relationships/hyperlink" Target="https://lista.mercadolivre.com.br/bolsa-045" TargetMode="External" Id="rId136"/><Relationship Type="http://schemas.openxmlformats.org/officeDocument/2006/relationships/hyperlink" Target="https://lista.mercadolivre.com.br/tenis-01-vol-045" TargetMode="External" Id="rId137"/><Relationship Type="http://schemas.openxmlformats.org/officeDocument/2006/relationships/hyperlink" Target="https://lista.mercadolivre.com.br/bota-tam-40-996" TargetMode="External" Id="rId138"/><Relationship Type="http://schemas.openxmlformats.org/officeDocument/2006/relationships/hyperlink" Target="https://lista.mercadolivre.com.br/bota-feminina-vol-996" TargetMode="External" Id="rId139"/><Relationship Type="http://schemas.openxmlformats.org/officeDocument/2006/relationships/hyperlink" Target="https://lista.mercadolivre.com.br/bolsa-feminina-vol-996" TargetMode="External" Id="rId140"/><Relationship Type="http://schemas.openxmlformats.org/officeDocument/2006/relationships/hyperlink" Target="https://lista.mercadolivre.com.br/chinelo-vol-045" TargetMode="External" Id="rId141"/></Relationships>
</file>

<file path=xl/worksheets/_rels/sheet21.xml.rels><Relationships xmlns="http://schemas.openxmlformats.org/package/2006/relationships"><Relationship Type="http://schemas.openxmlformats.org/officeDocument/2006/relationships/hyperlink" Target="https://lista.mercadolivre.com.br/conectores-terminais-eletricos" TargetMode="External" Id="rId1"/><Relationship Type="http://schemas.openxmlformats.org/officeDocument/2006/relationships/hyperlink" Target="https://lista.mercadolivre.com.br/pecas-caixa-som-resistor-ceramica-capacitor" TargetMode="External" Id="rId2"/><Relationship Type="http://schemas.openxmlformats.org/officeDocument/2006/relationships/hyperlink" Target="https://lista.mercadolivre.com.br/placa-eletronica-230" TargetMode="External" Id="rId3"/><Relationship Type="http://schemas.openxmlformats.org/officeDocument/2006/relationships/hyperlink" Target="https://lista.mercadolivre.com.br/placa-precessador-ericssom-d2400154255" TargetMode="External" Id="rId4"/><Relationship Type="http://schemas.openxmlformats.org/officeDocument/2006/relationships/hyperlink" Target="https://lista.mercadolivre.com.br/componentes-eletronicos-isolador-d24" TargetMode="External" Id="rId5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papaleguasengates.com.br/MLB-3288384295-modulo-instalaco-eletrica-engate-reboque-linha-fiat-2023-_JM" TargetMode="External" Id="rId1"/><Relationship Type="http://schemas.openxmlformats.org/officeDocument/2006/relationships/hyperlink" Target="https://lista.mercadolivre.com.br/bomba-de-combustivel-haval" TargetMode="External" Id="rId2"/><Relationship Type="http://schemas.openxmlformats.org/officeDocument/2006/relationships/hyperlink" Target="https://produto.mercadolivre.com.br/MLB-3517784593-lanterna-da-tampa-traseira-hb20-20232024-original-hyundai-_JM" TargetMode="External" Id="rId3"/><Relationship Type="http://schemas.openxmlformats.org/officeDocument/2006/relationships/hyperlink" Target="https://lista.mercadolivre.com.br/carregador-usb-veicular" TargetMode="External" Id="rId4"/><Relationship Type="http://schemas.openxmlformats.org/officeDocument/2006/relationships/hyperlink" Target="https://lista.mercadolivre.com.br/grade-frontal-nissan-mazda" TargetMode="External" Id="rId5"/><Relationship Type="http://schemas.openxmlformats.org/officeDocument/2006/relationships/hyperlink" Target="https://lista.mercadolivre.com.br/camaras-re-automotivas-075" TargetMode="External" Id="rId6"/><Relationship Type="http://schemas.openxmlformats.org/officeDocument/2006/relationships/hyperlink" Target="https://lista.mercadolivre.com.br/correia-dentada-powergrip-gt4-960-8mgt4" TargetMode="External" Id="rId7"/><Relationship Type="http://schemas.openxmlformats.org/officeDocument/2006/relationships/hyperlink" Target="https://lista.mercadolivre.com.br/correias-dentadas-hks-dsic-d24" TargetMode="External" Id="rId8"/><Relationship Type="http://schemas.openxmlformats.org/officeDocument/2006/relationships/hyperlink" Target="https://lista.mercadolivre.com.br/partes-pecas-automovel-mangueira-tubo-radiador" TargetMode="External" Id="rId9"/><Relationship Type="http://schemas.openxmlformats.org/officeDocument/2006/relationships/hyperlink" Target="https://lista.mercadolivre.com.br/filtro-combustivel-trator-001-777a-d578488" TargetMode="External" Id="rId10"/><Relationship Type="http://schemas.openxmlformats.org/officeDocument/2006/relationships/hyperlink" Target="https://lista.mercadolivre.com.br/lanterna-veiculo-conjunto-lanternas-laranjas-seta" TargetMode="External" Id="rId11"/><Relationship Type="http://schemas.openxmlformats.org/officeDocument/2006/relationships/hyperlink" Target="https://lista.mercadolivre.com.br/partes-pecas-automovel-chicotes-tampa-traseira" TargetMode="External" Id="rId12"/><Relationship Type="http://schemas.openxmlformats.org/officeDocument/2006/relationships/hyperlink" Target="https://lista.mercadolivre.com.br/partes-pecas-automovel-kit-completo-controle" TargetMode="External" Id="rId13"/><Relationship Type="http://schemas.openxmlformats.org/officeDocument/2006/relationships/hyperlink" Target="https://lista.mercadolivre.com.br/partes-pecas-automovel-dorman-automatic-transmission" TargetMode="External" Id="rId14"/><Relationship Type="http://schemas.openxmlformats.org/officeDocument/2006/relationships/hyperlink" Target="https://lista.mercadolivre.com.br/partes-pecas-automovel-beck-arnley-control" TargetMode="External" Id="rId15"/><Relationship Type="http://schemas.openxmlformats.org/officeDocument/2006/relationships/hyperlink" Target="https://lista.mercadolivre.com.br/partes-pecas-automovel-kit-lampadas-led" TargetMode="External" Id="rId16"/><Relationship Type="http://schemas.openxmlformats.org/officeDocument/2006/relationships/hyperlink" Target="https://lista.mercadolivre.com.br/partes-pecas-automovel-limpador-parabrisa-d24" TargetMode="External" Id="rId17"/><Relationship Type="http://schemas.openxmlformats.org/officeDocument/2006/relationships/hyperlink" Target="https://lista.mercadolivre.com.br/partes-pecas-automovel-premium-set-of" TargetMode="External" Id="rId18"/><Relationship Type="http://schemas.openxmlformats.org/officeDocument/2006/relationships/hyperlink" Target="https://lista.mercadolivre.com.br/partes-pecas-automovel-bonmunik-transmission-engine" TargetMode="External" Id="rId19"/><Relationship Type="http://schemas.openxmlformats.org/officeDocument/2006/relationships/hyperlink" Target="https://lista.mercadolivre.com.br/partes-pecas-automovel-motor-combustao-d24" TargetMode="External" Id="rId20"/><Relationship Type="http://schemas.openxmlformats.org/officeDocument/2006/relationships/hyperlink" Target="https://lista.mercadolivre.com.br/partes-pecas-automovel-hf-power-grid" TargetMode="External" Id="rId21"/><Relationship Type="http://schemas.openxmlformats.org/officeDocument/2006/relationships/hyperlink" Target="https://lista.mercadolivre.com.br/partes-pecas-automovel-led-headlight-d24" TargetMode="External" Id="rId22"/><Relationship Type="http://schemas.openxmlformats.org/officeDocument/2006/relationships/hyperlink" Target="https://lista.mercadolivre.com.br/partes-pecas-automovel-valvula-sangria-carte" TargetMode="External" Id="rId23"/><Relationship Type="http://schemas.openxmlformats.org/officeDocument/2006/relationships/hyperlink" Target="https://lista.mercadolivre.com.br/partes-pecas-automovel-peca-alinhamento-pneus" TargetMode="External" Id="rId24"/><Relationship Type="http://schemas.openxmlformats.org/officeDocument/2006/relationships/hyperlink" Target="https://lista.mercadolivre.com.br/partes-pecas-automovel-sinaleira-ford-crown" TargetMode="External" Id="rId25"/><Relationship Type="http://schemas.openxmlformats.org/officeDocument/2006/relationships/hyperlink" Target="https://lista.mercadolivre.com.br/partes-pecas-automovel-pistao-k3-smal" TargetMode="External" Id="rId26"/><Relationship Type="http://schemas.openxmlformats.org/officeDocument/2006/relationships/hyperlink" Target="https://lista.mercadolivre.com.br/partes-pecas-automovel-conjunto-transmissao-caminhao" TargetMode="External" Id="rId27"/><Relationship Type="http://schemas.openxmlformats.org/officeDocument/2006/relationships/hyperlink" Target="https://lista.mercadolivre.com.br/partes-pecas-automovel-pecas-eletronicas-hyundai" TargetMode="External" Id="rId28"/><Relationship Type="http://schemas.openxmlformats.org/officeDocument/2006/relationships/hyperlink" Target="https://lista.mercadolivre.com.br/peca-carro-vw-abracadeira-aco-fixacao" TargetMode="External" Id="rId29"/><Relationship Type="http://schemas.openxmlformats.org/officeDocument/2006/relationships/hyperlink" Target="https://lista.mercadolivre.com.br/camisa-metalica-pistao-automotivo-045" TargetMode="External" Id="rId30"/><Relationship Type="http://schemas.openxmlformats.org/officeDocument/2006/relationships/hyperlink" Target="https://lista.mercadolivre.com.br/pistao-completo-045-162a" TargetMode="External" Id="rId31"/><Relationship Type="http://schemas.openxmlformats.org/officeDocument/2006/relationships/hyperlink" Target="https://lista.mercadolivre.com.br/pistaoc-aneis-pino-996" TargetMode="External" Id="rId32"/><Relationship Type="http://schemas.openxmlformats.org/officeDocument/2006/relationships/hyperlink" Target="https://lista.mercadolivre.com.br/partes-pecas-moto-aparente-controle-seta" TargetMode="External" Id="rId33"/><Relationship Type="http://schemas.openxmlformats.org/officeDocument/2006/relationships/hyperlink" Target="https://lista.mercadolivre.com.br/dispositivos-teste-fontes-alimentacao-motos-045" TargetMode="External" Id="rId34"/><Relationship Type="http://schemas.openxmlformats.org/officeDocument/2006/relationships/hyperlink" Target="https://lista.mercadolivre.com.br/conectores-plasticos-automotivos-d2400111358" TargetMode="External" Id="rId35"/><Relationship Type="http://schemas.openxmlformats.org/officeDocument/2006/relationships/hyperlink" Target="https://lista.mercadolivre.com.br/partes-pecas-automovel-condutor-ar-volks" TargetMode="External" Id="rId36"/><Relationship Type="http://schemas.openxmlformats.org/officeDocument/2006/relationships/hyperlink" Target="https://lista.mercadolivre.com.br/pecas-motocicleta-d2400103776" TargetMode="External" Id="rId37"/><Relationship Type="http://schemas.openxmlformats.org/officeDocument/2006/relationships/hyperlink" Target="https://lista.mercadolivre.com.br/borracha-vedacao-aneis-vedacao-045" TargetMode="External" Id="rId38"/></Relationships>
</file>

<file path=xl/worksheets/_rels/sheet23.xml.rels><Relationships xmlns="http://schemas.openxmlformats.org/package/2006/relationships"><Relationship Type="http://schemas.openxmlformats.org/officeDocument/2006/relationships/hyperlink" Target="https://lista.mercadolivre.com.br/maquina-gravacao-laser-eletronicos-joias-vidro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lista.mercadolivre.com.br/roteador-teltonika-rut951" TargetMode="External" Id="rId1"/><Relationship Type="http://schemas.openxmlformats.org/officeDocument/2006/relationships/hyperlink" Target="https://lista.mercadolivre.com.br/vestas-cy5223-peca-reposicao-enegia-eolica" TargetMode="External" Id="rId2"/><Relationship Type="http://schemas.openxmlformats.org/officeDocument/2006/relationships/hyperlink" Target="https://lista.mercadolivre.com.br/tela-touch-terminal-interativo-schneider-hmidt952" TargetMode="External" Id="rId3"/><Relationship Type="http://schemas.openxmlformats.org/officeDocument/2006/relationships/hyperlink" Target="https://lista.mercadolivre.com.br/fonte-energia-schneider-vol1" TargetMode="External" Id="rId4"/><Relationship Type="http://schemas.openxmlformats.org/officeDocument/2006/relationships/hyperlink" Target="https://lista.mercadolivre.com.br/switch-portas-schneider-vol1" TargetMode="External" Id="rId5"/><Relationship Type="http://schemas.openxmlformats.org/officeDocument/2006/relationships/hyperlink" Target="https://lista.mercadolivre.com.br/laser-gcc-cavity-oring-quanta-system" TargetMode="External" Id="rId6"/><Relationship Type="http://schemas.openxmlformats.org/officeDocument/2006/relationships/hyperlink" Target="https://lista.mercadolivre.com.br/laser-gcc-shutter-board-quanta-system" TargetMode="External" Id="rId7"/><Relationship Type="http://schemas.openxmlformats.org/officeDocument/2006/relationships/hyperlink" Target="https://lista.mercadolivre.com.br/laser-gcc-hp-cable-16mm-quanta" TargetMode="External" Id="rId8"/><Relationship Type="http://schemas.openxmlformats.org/officeDocument/2006/relationships/hyperlink" Target="https://lista.mercadolivre.com.br/laser-gcc-filtro-ionizing-filter-quanta" TargetMode="External" Id="rId9"/><Relationship Type="http://schemas.openxmlformats.org/officeDocument/2006/relationships/hyperlink" Target="https://lista.mercadolivre.com.br/cabo-sensor-cabo-fibra-otica-075" TargetMode="External" Id="rId10"/></Relationships>
</file>

<file path=xl/worksheets/_rels/sheet25.xml.rels><Relationships xmlns="http://schemas.openxmlformats.org/package/2006/relationships"><Relationship Type="http://schemas.openxmlformats.org/officeDocument/2006/relationships/hyperlink" Target="https://lista.mercadolivre.com.br/conector-valvula-pneumatica-riegler" TargetMode="External" Id="rId1"/><Relationship Type="http://schemas.openxmlformats.org/officeDocument/2006/relationships/hyperlink" Target="https://lista.mercadolivre.com.br/regulador-de-potencia" TargetMode="External" Id="rId2"/><Relationship Type="http://schemas.openxmlformats.org/officeDocument/2006/relationships/hyperlink" Target="https://lista.mercadolivre.com.br/disjuntor-siemens-5sl" TargetMode="External" Id="rId3"/><Relationship Type="http://schemas.openxmlformats.org/officeDocument/2006/relationships/hyperlink" Target="https://lista.mercadolivre.com.br/motor-eletrico-inducao-monofasico-370w" TargetMode="External" Id="rId4"/><Relationship Type="http://schemas.openxmlformats.org/officeDocument/2006/relationships/hyperlink" Target="https://lista.mercadolivre.com.br/mangueira-flexivel-drenagem-industrial" TargetMode="External" Id="rId5"/><Relationship Type="http://schemas.openxmlformats.org/officeDocument/2006/relationships/hyperlink" Target="https://lista.mercadolivre.com.br/tubo-flexivel-metalico" TargetMode="External" Id="rId6"/><Relationship Type="http://schemas.openxmlformats.org/officeDocument/2006/relationships/hyperlink" Target="https://lista.mercadolivre.com.br/valvula-controle-industrial-075" TargetMode="External" Id="rId7"/><Relationship Type="http://schemas.openxmlformats.org/officeDocument/2006/relationships/hyperlink" Target="https://lista.mercadolivre.com.br/disjuntor-corrente-residual-rccb-standalone-25a" TargetMode="External" Id="rId8"/><Relationship Type="http://schemas.openxmlformats.org/officeDocument/2006/relationships/hyperlink" Target="https://lista.mercadolivre.com.br/mini-conectores-valvulas-ar-comprimido-ou" TargetMode="External" Id="rId9"/><Relationship Type="http://schemas.openxmlformats.org/officeDocument/2006/relationships/hyperlink" Target="https://lista.mercadolivre.com.br/rolete-definida-d24" TargetMode="External" Id="rId10"/><Relationship Type="http://schemas.openxmlformats.org/officeDocument/2006/relationships/hyperlink" Target="https://lista.mercadolivre.com.br/dispositivos-extensao-045" TargetMode="External" Id="rId11"/><Relationship Type="http://schemas.openxmlformats.org/officeDocument/2006/relationships/hyperlink" Target="https://lista.mercadolivre.com.br/eletrodos-maquinas-fiacao-fibras-tecido-075" TargetMode="External" Id="rId12"/><Relationship Type="http://schemas.openxmlformats.org/officeDocument/2006/relationships/hyperlink" Target="https://lista.mercadolivre.com.br/kits-bicos-metalicos-unid-cada-045" TargetMode="External" Id="rId13"/><Relationship Type="http://schemas.openxmlformats.org/officeDocument/2006/relationships/hyperlink" Target="https://lista.mercadolivre.com.br/haste-flutuante-indicadores-nive-oleo-045" TargetMode="External" Id="rId14"/><Relationship Type="http://schemas.openxmlformats.org/officeDocument/2006/relationships/hyperlink" Target="https://lista.mercadolivre.com.br/pecas-artesanais-metal-pe-metal-nivelador" TargetMode="External" Id="rId15"/><Relationship Type="http://schemas.openxmlformats.org/officeDocument/2006/relationships/hyperlink" Target="https://lista.mercadolivre.com.br/partes-pecas-maquinas-vol1" TargetMode="External" Id="rId16"/><Relationship Type="http://schemas.openxmlformats.org/officeDocument/2006/relationships/hyperlink" Target="https://lista.mercadolivre.com.br/partes-pecas-maquinas-peso-bt-vol1" TargetMode="External" Id="rId17"/><Relationship Type="http://schemas.openxmlformats.org/officeDocument/2006/relationships/hyperlink" Target="https://lista.mercadolivre.com.br/peca-maq-broca-uso-industrial-peso" TargetMode="External" Id="rId18"/><Relationship Type="http://schemas.openxmlformats.org/officeDocument/2006/relationships/hyperlink" Target="https://lista.mercadolivre.com.br/peca-maquina-peso-bt-vol-d2500156326" TargetMode="External" Id="rId19"/><Relationship Type="http://schemas.openxmlformats.org/officeDocument/2006/relationships/hyperlink" Target="https://lista.mercadolivre.com.br/peca-maquina-vol" TargetMode="External" Id="rId20"/><Relationship Type="http://schemas.openxmlformats.org/officeDocument/2006/relationships/hyperlink" Target="https://lista.mercadolivre.com.br/estrutura-metalica-diversas-manutencao-peso-bt" TargetMode="External" Id="rId21"/><Relationship Type="http://schemas.openxmlformats.org/officeDocument/2006/relationships/hyperlink" Target="https://lista.mercadolivre.com.br/partes-pecas-maquinas-peso-bt-vol" TargetMode="External" Id="rId22"/><Relationship Type="http://schemas.openxmlformats.org/officeDocument/2006/relationships/hyperlink" Target="https://lista.mercadolivre.com.br/partes-pecas-maquinas-vol1" TargetMode="External" Id="rId23"/><Relationship Type="http://schemas.openxmlformats.org/officeDocument/2006/relationships/hyperlink" Target="https://lista.mercadolivre.com.br/peca-maquina-vol1-d2500154256" TargetMode="External" Id="rId24"/><Relationship Type="http://schemas.openxmlformats.org/officeDocument/2006/relationships/hyperlink" Target="https://lista.mercadolivre.com.br/estrutura-metalica-parafuso-plug-fio-material" TargetMode="External" Id="rId25"/><Relationship Type="http://schemas.openxmlformats.org/officeDocument/2006/relationships/hyperlink" Target="https://lista.mercadolivre.com.br/reboque-comum-al-ko-partes-peca" TargetMode="External" Id="rId26"/><Relationship Type="http://schemas.openxmlformats.org/officeDocument/2006/relationships/hyperlink" Target="https://lista.mercadolivre.com.br/barra-quadrada-fibra-vidro-metro-comprimento" TargetMode="External" Id="rId27"/><Relationship Type="http://schemas.openxmlformats.org/officeDocument/2006/relationships/hyperlink" Target="https://lista.mercadolivre.com.br/kits-fixacao-parafuso-dobradica-mola-outro" TargetMode="External" Id="rId28"/><Relationship Type="http://schemas.openxmlformats.org/officeDocument/2006/relationships/hyperlink" Target="https://lista.mercadolivre.com.br/acessorio-monitor-valvul-tampa-indicadora-016" TargetMode="External" Id="rId29"/><Relationship Type="http://schemas.openxmlformats.org/officeDocument/2006/relationships/hyperlink" Target="https://lista.mercadolivre.com.br/parafuso-porcas-996" TargetMode="External" Id="rId30"/><Relationship Type="http://schemas.openxmlformats.org/officeDocument/2006/relationships/hyperlink" Target="https://lista.mercadolivre.com.br/valvula-servicos-petroleo-045-264a" TargetMode="External" Id="rId31"/><Relationship Type="http://schemas.openxmlformats.org/officeDocument/2006/relationships/hyperlink" Target="https://lista.mercadolivre.com.br/borracha-vedacao-aneis-vedacao-d2500093258" TargetMode="External" Id="rId32"/><Relationship Type="http://schemas.openxmlformats.org/officeDocument/2006/relationships/hyperlink" Target="https://lista.mercadolivre.com.br/partess-maquinas-trabalhar-pedra-996" TargetMode="External" Id="rId33"/><Relationship Type="http://schemas.openxmlformats.org/officeDocument/2006/relationships/hyperlink" Target="https://lista.mercadolivre.com.br/rolamento-kit-rolamentos-granpinhos-996" TargetMode="External" Id="rId34"/></Relationships>
</file>

<file path=xl/worksheets/_rels/sheet26.xml.rels><Relationships xmlns="http://schemas.openxmlformats.org/package/2006/relationships"><Relationship Type="http://schemas.openxmlformats.org/officeDocument/2006/relationships/hyperlink" Target="https://lista.mercadolivre.com.br/cabeca-impressao-spectra-nova-ja-256-80" TargetMode="External" Id="rId1"/><Relationship Type="http://schemas.openxmlformats.org/officeDocument/2006/relationships/hyperlink" Target="https://produto.mercadolivre.com.br/MLB-2726862511-antena-dual-band-8-dbi-24ghz-58ghz-rp-sma-macho-wifi-_JM" TargetMode="External" Id="rId2"/><Relationship Type="http://schemas.openxmlformats.org/officeDocument/2006/relationships/hyperlink" Target="https://lista.mercadolivre.com.br/dvr-gravador-cctv-264-network-digital" TargetMode="External" Id="rId3"/><Relationship Type="http://schemas.openxmlformats.org/officeDocument/2006/relationships/hyperlink" Target="https://lista.mercadolivre.com.br/receptor-radiodifusao-vesseltracker-raspais-receiver-vt" TargetMode="External" Id="rId4"/><Relationship Type="http://schemas.openxmlformats.org/officeDocument/2006/relationships/hyperlink" Target="https://lista.mercadolivre.com.br/placa-eletronica-montada-kit-placa-fios" TargetMode="External" Id="rId5"/><Relationship Type="http://schemas.openxmlformats.org/officeDocument/2006/relationships/hyperlink" Target="https://lista.mercadolivre.com.br/servidor-computacao-opengear-console-manager-vol" TargetMode="External" Id="rId6"/><Relationship Type="http://schemas.openxmlformats.org/officeDocument/2006/relationships/hyperlink" Target="https://lista.mercadolivre.com.br/firewall-paloalto-model-pa-450-acess" TargetMode="External" Id="rId7"/><Relationship Type="http://schemas.openxmlformats.org/officeDocument/2006/relationships/hyperlink" Target="https://lista.mercadolivre.com.br/cabo-usb-apple-usb-240w-charge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lista.mercadolivre.com.br/sensor-telemecanique" TargetMode="External" Id="rId1"/><Relationship Type="http://schemas.openxmlformats.org/officeDocument/2006/relationships/hyperlink" Target="https://lista.mercadolivre.com.br/sensor-proximidade-omron-e2f-x10f1" TargetMode="External" Id="rId2"/><Relationship Type="http://schemas.openxmlformats.org/officeDocument/2006/relationships/hyperlink" Target="https://lista.mercadolivre.com.br/camera-arenti-go2-solar" TargetMode="External" Id="rId3"/><Relationship Type="http://schemas.openxmlformats.org/officeDocument/2006/relationships/hyperlink" Target="https://lista.mercadolivre.com.br/camera-arenti-4mp-outdoor" TargetMode="External" Id="rId4"/><Relationship Type="http://schemas.openxmlformats.org/officeDocument/2006/relationships/hyperlink" Target="https://lista.mercadolivre.com.br/camera-arenti-o3-4mp-wifi" TargetMode="External" Id="rId5"/><Relationship Type="http://schemas.openxmlformats.org/officeDocument/2006/relationships/hyperlink" Target="https://lista.mercadolivre.com.br/camera-seguranca-3mp-outdoo-laxihub-w2" TargetMode="External" Id="rId6"/><Relationship Type="http://schemas.openxmlformats.org/officeDocument/2006/relationships/hyperlink" Target="https://lista.mercadolivre.com.br/camera-seguranca-digital-video-camera-hd" TargetMode="External" Id="rId7"/><Relationship Type="http://schemas.openxmlformats.org/officeDocument/2006/relationships/hyperlink" Target="https://lista.mercadolivre.com.br/camera-seguranca-3mp-indoor-arenti-p2t" TargetMode="External" Id="rId8"/><Relationship Type="http://schemas.openxmlformats.org/officeDocument/2006/relationships/hyperlink" Target="https://lista.mercadolivre.com.br/camera-seguranca-panasonic-wv-s6130-vol" TargetMode="External" Id="rId9"/></Relationships>
</file>

<file path=xl/worksheets/_rels/sheet28.xml.rels><Relationships xmlns="http://schemas.openxmlformats.org/package/2006/relationships"><Relationship Type="http://schemas.openxmlformats.org/officeDocument/2006/relationships/hyperlink" Target="https://lista.mercadolivre.com.br/monitor-video-comp-samsung-32-polegadas" TargetMode="External" Id="rId1"/><Relationship Type="http://schemas.openxmlformats.org/officeDocument/2006/relationships/hyperlink" Target="https://lista.mercadolivre.com.br/suporte-monitor-rackmount-vol" TargetMode="External" Id="rId2"/><Relationship Type="http://schemas.openxmlformats.org/officeDocument/2006/relationships/hyperlink" Target="https://lista.mercadolivre.com.br/cabos-diversos-peso-bt-vol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https://lista.mercadolivre.com.br/equipamentos-diversos-automacao-industrial-siemens-d24" TargetMode="External" Id="rId1"/><Relationship Type="http://schemas.openxmlformats.org/officeDocument/2006/relationships/hyperlink" Target="https://lista.mercadolivre.com.br/partes-pecas-maquinas-elevco-industrial-045" TargetMode="External" Id="rId2"/><Relationship Type="http://schemas.openxmlformats.org/officeDocument/2006/relationships/hyperlink" Target="https://lista.mercadolivre.com.br/peca-automacao-industrial-encoder-rsi-503" TargetMode="External" Id="rId3"/><Relationship Type="http://schemas.openxmlformats.org/officeDocument/2006/relationships/hyperlink" Target="https://lista.mercadolivre.com.br/controlador-logico-programavel-unitronics-045-mi224051569" TargetMode="External" Id="rId4"/><Relationship Type="http://schemas.openxmlformats.org/officeDocument/2006/relationships/hyperlink" Target="https://lista.mercadolivre.com.br/bomba-industrial-liquidos-corrosivos-savino-barbera" TargetMode="External" Id="rId5"/></Relationships>
</file>

<file path=xl/worksheets/_rels/sheet30.xml.rels><Relationships xmlns="http://schemas.openxmlformats.org/package/2006/relationships"><Relationship Type="http://schemas.openxmlformats.org/officeDocument/2006/relationships/hyperlink" Target="https://lista.mercadolivre.com.br/fonte-laser-uv" TargetMode="External" Id="rId1"/><Relationship Type="http://schemas.openxmlformats.org/officeDocument/2006/relationships/hyperlink" Target="https://lista.mercadolivre.com.br/maquina-gravacao-laser" TargetMode="External" Id="rId2"/><Relationship Type="http://schemas.openxmlformats.org/officeDocument/2006/relationships/hyperlink" Target="https://lista.mercadolivre.com.br/sick-ar60-laser-alinhamento-maquinas-rotativas" TargetMode="External" Id="rId3"/><Relationship Type="http://schemas.openxmlformats.org/officeDocument/2006/relationships/hyperlink" Target="https://lista.mercadolivre.com.br/parte-equipamento-ultrassom-inspecao-tubos-iris" TargetMode="External" Id="rId4"/></Relationships>
</file>

<file path=xl/worksheets/_rels/sheet31.xml.rels><Relationships xmlns="http://schemas.openxmlformats.org/package/2006/relationships"><Relationship Type="http://schemas.openxmlformats.org/officeDocument/2006/relationships/hyperlink" Target="https://lista.mercadolivre.com.br/bomba-agua-cps-750-001-szsc2401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lista.mercadolivre.com.br/fonte-energia-fonte-alimentacao-chaveada-ventilador" TargetMode="External" Id="rId1"/><Relationship Type="http://schemas.openxmlformats.org/officeDocument/2006/relationships/hyperlink" Target="https://lista.mercadolivre.com.br/fonte-energia-fonte-alimentacao-chaveada-carcaca" TargetMode="External" Id="rId2"/><Relationship Type="http://schemas.openxmlformats.org/officeDocument/2006/relationships/hyperlink" Target="https://lista.mercadolivre.com.br/controladores-programaveis-clp-venture-blx-d24" TargetMode="External" Id="rId3"/><Relationship Type="http://schemas.openxmlformats.org/officeDocument/2006/relationships/hyperlink" Target="https://lista.mercadolivre.com.br/painel-operacao-tela-plasonic-d24-vol" TargetMode="External" Id="rId4"/><Relationship Type="http://schemas.openxmlformats.org/officeDocument/2006/relationships/hyperlink" Target="https://lista.mercadolivre.com.br/estabilizador-voltagem-transformador-ou-estabilizador-tensao" TargetMode="External" Id="rId5"/><Relationship Type="http://schemas.openxmlformats.org/officeDocument/2006/relationships/hyperlink" Target="https://lista.mercadolivre.com.br/cabos-conector-d24-vol" TargetMode="External" Id="rId6"/><Relationship Type="http://schemas.openxmlformats.org/officeDocument/2006/relationships/hyperlink" Target="https://lista.mercadolivre.com.br/manuais-diversos-d24-vol" TargetMode="External" Id="rId7"/><Relationship Type="http://schemas.openxmlformats.org/officeDocument/2006/relationships/hyperlink" Target="https://lista.mercadolivre.com.br/conectores-cabos-rede-d24" TargetMode="External" Id="rId8"/><Relationship Type="http://schemas.openxmlformats.org/officeDocument/2006/relationships/hyperlink" Target="https://lista.mercadolivre.com.br/tomada-d24" TargetMode="External" Id="rId9"/></Relationships>
</file>

<file path=xl/worksheets/_rels/sheet33.xml.rels><Relationships xmlns="http://schemas.openxmlformats.org/package/2006/relationships"><Relationship Type="http://schemas.openxmlformats.org/officeDocument/2006/relationships/hyperlink" Target="https://lista.mercadolivre.com.br/jo-malone-velvet-rose-oud" TargetMode="External" Id="rId1"/><Relationship Type="http://schemas.openxmlformats.org/officeDocument/2006/relationships/hyperlink" Target="https://lista.mercadolivre.com.br/louis-vuitton-heures-d-absence-2ml" TargetMode="External" Id="rId2"/><Relationship Type="http://schemas.openxmlformats.org/officeDocument/2006/relationships/hyperlink" Target="https://lista.mercadolivre.com.br/perfume-asad-lattafa-100ml" TargetMode="External" Id="rId3"/><Relationship Type="http://schemas.openxmlformats.org/officeDocument/2006/relationships/hyperlink" Target="https://lista.mercadolivre.com.br/perfume-yara-lattafa-100ml" TargetMode="External" Id="rId4"/><Relationship Type="http://schemas.openxmlformats.org/officeDocument/2006/relationships/hyperlink" Target="https://lista.mercadolivre.com.br/dolce-gabbana-the-only-one-edp-50ml" TargetMode="External" Id="rId5"/><Relationship Type="http://schemas.openxmlformats.org/officeDocument/2006/relationships/hyperlink" Target="https://lista.mercadolivre.com.br/dior-addict-edp-100ml" TargetMode="External" Id="rId6"/><Relationship Type="http://schemas.openxmlformats.org/officeDocument/2006/relationships/hyperlink" Target="https://lista.mercadolivre.com.br/giorgio-armani-code-125ml" TargetMode="External" Id="rId7"/><Relationship Type="http://schemas.openxmlformats.org/officeDocument/2006/relationships/hyperlink" Target="https://lista.mercadolivre.com.br/perfume-mayar-lattafa-100-ml-d24" TargetMode="External" Id="rId8"/><Relationship Type="http://schemas.openxmlformats.org/officeDocument/2006/relationships/hyperlink" Target="https://lista.mercadolivre.com.br/perfume-now-rave-nuxor-100-ml" TargetMode="External" Id="rId9"/><Relationship Type="http://schemas.openxmlformats.org/officeDocument/2006/relationships/hyperlink" Target="https://lista.mercadolivre.com.br/perfume-chanel-chance-50ml-045" TargetMode="External" Id="rId10"/><Relationship Type="http://schemas.openxmlformats.org/officeDocument/2006/relationships/hyperlink" Target="https://lista.mercadolivre.com.br/perfume-deux-cent-douze-vip-black" TargetMode="External" Id="rId11"/><Relationship Type="http://schemas.openxmlformats.org/officeDocument/2006/relationships/hyperlink" Target="https://lista.mercadolivre.com.br/perfume-moschino-miniature-collection-d24" TargetMode="External" Id="rId12"/><Relationship Type="http://schemas.openxmlformats.org/officeDocument/2006/relationships/hyperlink" Target="https://lista.mercadolivre.com.br/perfume-victoria-secret-bombshell-100ml-045" TargetMode="External" Id="rId13"/><Relationship Type="http://schemas.openxmlformats.org/officeDocument/2006/relationships/hyperlink" Target="https://lista.mercadolivre.com.br/perfume-al-sayaad-100-ml-d24" TargetMode="External" Id="rId14"/><Relationship Type="http://schemas.openxmlformats.org/officeDocument/2006/relationships/hyperlink" Target="https://lista.mercadolivre.com.br/perfume-proud-of-you-absolute-100" TargetMode="External" Id="rId15"/><Relationship Type="http://schemas.openxmlformats.org/officeDocument/2006/relationships/hyperlink" Target="https://lista.mercadolivre.com.br/perfume-oud-for-glory-lattafa-100" TargetMode="External" Id="rId16"/><Relationship Type="http://schemas.openxmlformats.org/officeDocument/2006/relationships/hyperlink" Target="https://lista.mercadolivre.com.br/perfume-launo-forever-blue-100-ml" TargetMode="External" Id="rId17"/><Relationship Type="http://schemas.openxmlformats.org/officeDocument/2006/relationships/hyperlink" Target="https://lista.mercadolivre.com.br/perfume-sublime-lattafa-100ml-d24" TargetMode="External" Id="rId18"/><Relationship Type="http://schemas.openxmlformats.org/officeDocument/2006/relationships/hyperlink" Target="https://lista.mercadolivre.com.br/perfume-shams-al-emarat-khususi-100" TargetMode="External" Id="rId19"/><Relationship Type="http://schemas.openxmlformats.org/officeDocument/2006/relationships/hyperlink" Target="https://lista.mercadolivre.com.br/perfume-lacrado-vol1-d2400215850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lista.mercadolivre.com.br/canivete-civivi" TargetMode="External" Id="rId1"/><Relationship Type="http://schemas.openxmlformats.org/officeDocument/2006/relationships/hyperlink" Target="https://lista.mercadolivre.com.br/miniatura-carrinho-colecionavel" TargetMode="External" Id="rId2"/><Relationship Type="http://schemas.openxmlformats.org/officeDocument/2006/relationships/hyperlink" Target="https://lista.mercadolivre.com.br/jogo-xbox-360-ps2-ps3-usado" TargetMode="External" Id="rId3"/><Relationship Type="http://schemas.openxmlformats.org/officeDocument/2006/relationships/hyperlink" Target="https://lista.mercadolivre.com.br/canivete-we-we22028-solid-lamina-aco" TargetMode="External" Id="rId4"/><Relationship Type="http://schemas.openxmlformats.org/officeDocument/2006/relationships/hyperlink" Target="https://lista.mercadolivre.com.br/canivete-we-we22028-solid-lamina-aco" TargetMode="External" Id="rId5"/><Relationship Type="http://schemas.openxmlformats.org/officeDocument/2006/relationships/hyperlink" Target="https://lista.mercadolivre.com.br/disco-fonografico-lp-disco-vinil-banda" TargetMode="External" Id="rId6"/><Relationship Type="http://schemas.openxmlformats.org/officeDocument/2006/relationships/hyperlink" Target="https://lista.mercadolivre.com.br/canivete-we-we19068j-banter-wharncliffe-hawb" TargetMode="External" Id="rId7"/><Relationship Type="http://schemas.openxmlformats.org/officeDocument/2006/relationships/hyperlink" Target="https://lista.mercadolivre.com.br/clip-canivete-prender-na-roupa-black" TargetMode="External" Id="rId8"/><Relationship Type="http://schemas.openxmlformats.org/officeDocument/2006/relationships/hyperlink" Target="https://lista.mercadolivre.com.br/clip-canivete-prender-na-roupa-plain" TargetMode="External" Id="rId9"/><Relationship Type="http://schemas.openxmlformats.org/officeDocument/2006/relationships/hyperlink" Target="https://lista.mercadolivre.com.br/miniaturas-carros-moto-caminhao-onibus-d24" TargetMode="External" Id="rId10"/><Relationship Type="http://schemas.openxmlformats.org/officeDocument/2006/relationships/hyperlink" Target="https://lista.mercadolivre.com.br/moeda-colecionavel-10yr-anniversary-made-better" TargetMode="External" Id="rId11"/></Relationships>
</file>

<file path=xl/worksheets/_rels/sheet35.xml.rels><Relationships xmlns="http://schemas.openxmlformats.org/package/2006/relationships"><Relationship Type="http://schemas.openxmlformats.org/officeDocument/2006/relationships/hyperlink" Target="https://lista.mercadolivre.com.br/keepdata-ssd-256gb" TargetMode="External" Id="rId1"/><Relationship Type="http://schemas.openxmlformats.org/officeDocument/2006/relationships/hyperlink" Target="https://www.mercadolivre.com.br/hd-ssd-120gb-sata-30-kds120g-l21-keepdata-500mbs-450mbs/p/MLB21145173" TargetMode="External" Id="rId2"/><Relationship Type="http://schemas.openxmlformats.org/officeDocument/2006/relationships/hyperlink" Target="https://lista.mercadolivre.com.br/apple-airpods-4-usado" TargetMode="External" Id="rId3"/><Relationship Type="http://schemas.openxmlformats.org/officeDocument/2006/relationships/hyperlink" Target="https://lista.mercadolivre.com.br/steelseries-arctis-nova-pro-usado" TargetMode="External" Id="rId4"/><Relationship Type="http://schemas.openxmlformats.org/officeDocument/2006/relationships/hyperlink" Target="https://lista.mercadolivre.com.br/keepdata-ssd-128gb" TargetMode="External" Id="rId5"/><Relationship Type="http://schemas.openxmlformats.org/officeDocument/2006/relationships/hyperlink" Target="https://lista.mercadolivre.com.br/meta-quest-3s-usado" TargetMode="External" Id="rId6"/><Relationship Type="http://schemas.openxmlformats.org/officeDocument/2006/relationships/hyperlink" Target="https://lista.mercadolivre.com.br/canon-eos-r100-usada" TargetMode="External" Id="rId7"/><Relationship Type="http://schemas.openxmlformats.org/officeDocument/2006/relationships/hyperlink" Target="https://lista.mercadolivre.com.br/fita-dat-hp-lto-6tb" TargetMode="External" Id="rId8"/><Relationship Type="http://schemas.openxmlformats.org/officeDocument/2006/relationships/hyperlink" Target="https://lista.mercadolivre.com.br/fita-dat-hp-lto-3tb" TargetMode="External" Id="rId9"/><Relationship Type="http://schemas.openxmlformats.org/officeDocument/2006/relationships/hyperlink" Target="https://lista.mercadolivre.com.br/fita-dat-fujifilm-lto-ultrium-5tb" TargetMode="External" Id="rId10"/><Relationship Type="http://schemas.openxmlformats.org/officeDocument/2006/relationships/hyperlink" Target="https://lista.mercadolivre.com.br/adaptador-voltagem" TargetMode="External" Id="rId11"/><Relationship Type="http://schemas.openxmlformats.org/officeDocument/2006/relationships/hyperlink" Target="https://lista.mercadolivre.com.br/fita-dat-fujifilm-lto-ultrium-800gb" TargetMode="External" Id="rId12"/><Relationship Type="http://schemas.openxmlformats.org/officeDocument/2006/relationships/hyperlink" Target="https://lista.mercadolivre.com.br/rastreador-apple-airtag-embalagem-unidade" TargetMode="External" Id="rId13"/><Relationship Type="http://schemas.openxmlformats.org/officeDocument/2006/relationships/hyperlink" Target="https://lista.mercadolivre.com.br/memoria-ram-computador" TargetMode="External" Id="rId14"/><Relationship Type="http://schemas.openxmlformats.org/officeDocument/2006/relationships/hyperlink" Target="https://lista.mercadolivre.com.br/controle-video-game-xbox-carbon-black" TargetMode="External" Id="rId15"/><Relationship Type="http://schemas.openxmlformats.org/officeDocument/2006/relationships/hyperlink" Target="https://lista.mercadolivre.com.br/mala-viagem" TargetMode="External" Id="rId16"/><Relationship Type="http://schemas.openxmlformats.org/officeDocument/2006/relationships/hyperlink" Target="https://lista.mercadolivre.com.br/mala-viagem-kit-malas" TargetMode="External" Id="rId17"/><Relationship Type="http://schemas.openxmlformats.org/officeDocument/2006/relationships/hyperlink" Target="https://lista.mercadolivre.com.br/controle-video-game-sony-ps5" TargetMode="External" Id="rId18"/><Relationship Type="http://schemas.openxmlformats.org/officeDocument/2006/relationships/hyperlink" Target="https://lista.mercadolivre.com.br/adaptador-voltagem-usb" TargetMode="External" Id="rId19"/><Relationship Type="http://schemas.openxmlformats.org/officeDocument/2006/relationships/hyperlink" Target="https://lista.mercadolivre.com.br/mala-viagem-kit-necessaire" TargetMode="External" Id="rId20"/><Relationship Type="http://schemas.openxmlformats.org/officeDocument/2006/relationships/hyperlink" Target="https://lista.mercadolivre.com.br/fone-ouvido-qcy-t1" TargetMode="External" Id="rId21"/></Relationships>
</file>

<file path=xl/worksheets/_rels/sheet36.xml.rels><Relationships xmlns="http://schemas.openxmlformats.org/package/2006/relationships"><Relationship Type="http://schemas.openxmlformats.org/officeDocument/2006/relationships/hyperlink" Target="https://lista.mercadolivre.com.br/xiaomi-robot-vacuum-5" TargetMode="External" Id="rId1"/><Relationship Type="http://schemas.openxmlformats.org/officeDocument/2006/relationships/hyperlink" Target="https://lista.mercadolivre.com.br/xiaomi-robot-vacuum-s20-plus-usado" TargetMode="External" Id="rId2"/><Relationship Type="http://schemas.openxmlformats.org/officeDocument/2006/relationships/hyperlink" Target="https://lista.mercadolivre.com.br/xiaomi-robot-vacuum-5-pro" TargetMode="External" Id="rId3"/><Relationship Type="http://schemas.openxmlformats.org/officeDocument/2006/relationships/hyperlink" Target="https://lista.mercadolivre.com.br/xiaomi-robot-vacuum-s40-pro" TargetMode="External" Id="rId4"/><Relationship Type="http://schemas.openxmlformats.org/officeDocument/2006/relationships/hyperlink" Target="https://lista.mercadolivre.com.br/xiaomi-robot-vacuum-x20-pro-usado" TargetMode="External" Id="rId5"/><Relationship Type="http://schemas.openxmlformats.org/officeDocument/2006/relationships/hyperlink" Target="https://lista.mercadolivre.com.br/xiaomi-robot-vacuum-5-pro" TargetMode="External" Id="rId6"/><Relationship Type="http://schemas.openxmlformats.org/officeDocument/2006/relationships/hyperlink" Target="https://lista.mercadolivre.com.br/xiaomi-robot-vacuum-5-pro" TargetMode="External" Id="rId7"/><Relationship Type="http://schemas.openxmlformats.org/officeDocument/2006/relationships/hyperlink" Target="https://lista.mercadolivre.com.br/aspirador-po-xiaomi-robot-vacuum-s40" TargetMode="External" Id="rId8"/><Relationship Type="http://schemas.openxmlformats.org/officeDocument/2006/relationships/hyperlink" Target="https://lista.mercadolivre.com.br/aspirador-po-xiaomi-robot-vacuum-x20" TargetMode="External" Id="rId9"/><Relationship Type="http://schemas.openxmlformats.org/officeDocument/2006/relationships/hyperlink" Target="https://lista.mercadolivre.com.br/aspirador-po-xiaomi-robot-vacuum-x20" TargetMode="External" Id="rId10"/><Relationship Type="http://schemas.openxmlformats.org/officeDocument/2006/relationships/hyperlink" Target="https://lista.mercadolivre.com.br/aspirador-po-xiaomi-robot-vacuum-h40" TargetMode="External" Id="rId11"/><Relationship Type="http://schemas.openxmlformats.org/officeDocument/2006/relationships/hyperlink" Target="https://lista.mercadolivre.com.br/aspirador-po-xiaomi-robot-vacuum-s20" TargetMode="External" Id="rId12"/><Relationship Type="http://schemas.openxmlformats.org/officeDocument/2006/relationships/hyperlink" Target="https://lista.mercadolivre.com.br/aspirador-po-xiaomi-robot-vacuum-s20" TargetMode="External" Id="rId13"/><Relationship Type="http://schemas.openxmlformats.org/officeDocument/2006/relationships/hyperlink" Target="https://lista.mercadolivre.com.br/aspirador-po-xiaomi-robot-vacuum-x20" TargetMode="External" Id="rId14"/><Relationship Type="http://schemas.openxmlformats.org/officeDocument/2006/relationships/hyperlink" Target="https://lista.mercadolivre.com.br/aspirador-po-xiaomi-robot-vacuum-x20" TargetMode="External" Id="rId15"/><Relationship Type="http://schemas.openxmlformats.org/officeDocument/2006/relationships/hyperlink" Target="https://lista.mercadolivre.com.br/aspirador-po-xiaomi-robot-vacuum-s40c" TargetMode="External" Id="rId16"/><Relationship Type="http://schemas.openxmlformats.org/officeDocument/2006/relationships/hyperlink" Target="https://lista.mercadolivre.com.br/aspirador-po-xiaomi-robot-vacuum-s40" TargetMode="External" Id="rId17"/><Relationship Type="http://schemas.openxmlformats.org/officeDocument/2006/relationships/hyperlink" Target="https://lista.mercadolivre.com.br/aspirador-po-xiaomi-robot-vacuum-s40" TargetMode="External" Id="rId18"/></Relationships>
</file>

<file path=xl/worksheets/_rels/sheet37.xml.rels><Relationships xmlns="http://schemas.openxmlformats.org/package/2006/relationships"><Relationship Type="http://schemas.openxmlformats.org/officeDocument/2006/relationships/hyperlink" Target="https://lista.mercadolivre.com.br/compressor-parafuso-hitachi-usado" TargetMode="External" Id="rId1"/><Relationship Type="http://schemas.openxmlformats.org/officeDocument/2006/relationships/hyperlink" Target="https://lista.mercadolivre.com.br/maquina-gravacao-laser-4060-50w" TargetMode="External" Id="rId2"/></Relationships>
</file>

<file path=xl/worksheets/_rels/sheet38.xml.rels><Relationships xmlns="http://schemas.openxmlformats.org/package/2006/relationships"><Relationship Type="http://schemas.openxmlformats.org/officeDocument/2006/relationships/hyperlink" Target="https://lista.mercadolivre.com.br/maquina-gravacao-laser-cnc-20w" TargetMode="External" Id="rId1"/><Relationship Type="http://schemas.openxmlformats.org/officeDocument/2006/relationships/hyperlink" Target="https://www.mercadolivre.com.br/nivel-laser-verde-16-linhas-4d-autonivelante-com-2-baterias/p/MLB65113974" TargetMode="External" Id="rId2"/></Relationships>
</file>

<file path=xl/worksheets/_rels/sheet39.xml.rels><Relationships xmlns="http://schemas.openxmlformats.org/package/2006/relationships"><Relationship Type="http://schemas.openxmlformats.org/officeDocument/2006/relationships/hyperlink" Target="https://lista.mercadolivre.com.br/sintetizador-guitarra-roland-gr-55" TargetMode="External" Id="rId1"/><Relationship Type="http://schemas.openxmlformats.org/officeDocument/2006/relationships/hyperlink" Target="https://lista.mercadolivre.com.br/pedaleira-zoom-g5n" TargetMode="External" Id="rId2"/><Relationship Type="http://schemas.openxmlformats.org/officeDocument/2006/relationships/hyperlink" Target="https://lista.mercadolivre.com.br/teclado-controlador-akai-mpk-mini-plus" TargetMode="External" Id="rId3"/><Relationship Type="http://schemas.openxmlformats.org/officeDocument/2006/relationships/hyperlink" Target="https://lista.mercadolivre.com.br/teclado-gamer-corsair-mecanico-rgb" TargetMode="External" Id="rId4"/><Relationship Type="http://schemas.openxmlformats.org/officeDocument/2006/relationships/hyperlink" Target="https://celulares.mercadolivre.com.br/acessorios/fones-kits-viva-voz/usados/apple-airpod" TargetMode="External" Id="rId5"/><Relationship Type="http://schemas.openxmlformats.org/officeDocument/2006/relationships/hyperlink" Target="https://lista.mercadolivre.com.br/corda-guitarra-ernie-ball-super-slinky" TargetMode="External" Id="rId6"/><Relationship Type="http://schemas.openxmlformats.org/officeDocument/2006/relationships/hyperlink" Target="https://lista.mercadolivre.com.br/braco-guitarra-ibanez-gio" TargetMode="External" Id="rId7"/><Relationship Type="http://schemas.openxmlformats.org/officeDocument/2006/relationships/hyperlink" Target="https://lista.mercadolivre.com.br/braco-guitarra-gio-ibanez-gs211201976" TargetMode="External" Id="rId8"/><Relationship Type="http://schemas.openxmlformats.org/officeDocument/2006/relationships/hyperlink" Target="https://lista.mercadolivre.com.br/roteador-huawei-e5576-320" TargetMode="External" Id="rId9"/><Relationship Type="http://schemas.openxmlformats.org/officeDocument/2006/relationships/hyperlink" Target="https://lista.mercadolivre.com.br/mi-tv-stick-4k-xiaomi-mdz" TargetMode="External" Id="rId10"/><Relationship Type="http://schemas.openxmlformats.org/officeDocument/2006/relationships/hyperlink" Target="https://lista.mercadolivre.com.br/kit-limpeza-guitarra-dunlop-system-65" TargetMode="External" Id="rId11"/><Relationship Type="http://schemas.openxmlformats.org/officeDocument/2006/relationships/hyperlink" Target="https://lista.mercadolivre.com.br/fone-ouvido-fio-cellularline-seek" TargetMode="External" Id="rId12"/><Relationship Type="http://schemas.openxmlformats.org/officeDocument/2006/relationships/hyperlink" Target="https://lista.mercadolivre.com.br/pedal-mgear-audio-sp" TargetMode="External" Id="rId13"/><Relationship Type="http://schemas.openxmlformats.org/officeDocument/2006/relationships/hyperlink" Target="https://lista.mercadolivre.com.br/relogio-smart-watch-power" TargetMode="External" Id="rId14"/><Relationship Type="http://schemas.openxmlformats.org/officeDocument/2006/relationships/hyperlink" Target="https://lista.mercadolivre.com.br/fone-ouvido-sony-mdr-zx110" TargetMode="External" Id="rId15"/><Relationship Type="http://schemas.openxmlformats.org/officeDocument/2006/relationships/hyperlink" Target="https://lista.mercadolivre.com.br/bateria-amazon-cr2" TargetMode="External" Id="rId16"/><Relationship Type="http://schemas.openxmlformats.org/officeDocument/2006/relationships/hyperlink" Target="https://lista.mercadolivre.com.br/capo-guitarra-donner-dc-acessorio-guitarra" TargetMode="External" Id="rId17"/><Relationship Type="http://schemas.openxmlformats.org/officeDocument/2006/relationships/hyperlink" Target="https://lista.mercadolivre.com.br/fone-ouvido-fio-area-true" TargetMode="External" Id="rId18"/></Relationships>
</file>

<file path=xl/worksheets/_rels/sheet40.xml.rels><Relationships xmlns="http://schemas.openxmlformats.org/package/2006/relationships"><Relationship Type="http://schemas.openxmlformats.org/officeDocument/2006/relationships/hyperlink" Target="https://lista.mercadolivre.com.br/ar-condicionado-24v-veiculo-cabine-caminhao" TargetMode="External" Id="rId1"/><Relationship Type="http://schemas.openxmlformats.org/officeDocument/2006/relationships/hyperlink" Target="https://lista.mercadolivre.com.br/ar-condicionado-12v-veiculo-cabine-estacionario" TargetMode="External" Id="rId2"/><Relationship Type="http://schemas.openxmlformats.org/officeDocument/2006/relationships/hyperlink" Target="https://lista.mercadolivre.com.br/pa-carregadeira-cabine-motor-diesel-yineng" TargetMode="External" Id="rId3"/><Relationship Type="http://schemas.openxmlformats.org/officeDocument/2006/relationships/hyperlink" Target="https://lista.mercadolivre.com.br/rolo-compactador-solo-asfalto-autopropulsado-duplo" TargetMode="External" Id="rId4"/><Relationship Type="http://schemas.openxmlformats.org/officeDocument/2006/relationships/hyperlink" Target="https://lista.mercadolivre.com.br/rolo-compactador-solo-asfalto-autopropulsado-duplo" TargetMode="External" Id="rId5"/><Relationship Type="http://schemas.openxmlformats.org/officeDocument/2006/relationships/hyperlink" Target="https://lista.mercadolivre.com.br/plataforma-minicarregadeira-rodas-acionadas-motor-eletrico" TargetMode="External" Id="rId6"/><Relationship Type="http://schemas.openxmlformats.org/officeDocument/2006/relationships/hyperlink" Target="https://lista.mercadolivre.com.br/gerador-eletrico-24v-24v-tzdcge24" TargetMode="External" Id="rId7"/></Relationships>
</file>

<file path=xl/worksheets/_rels/sheet41.xml.rels><Relationships xmlns="http://schemas.openxmlformats.org/package/2006/relationships"><Relationship Type="http://schemas.openxmlformats.org/officeDocument/2006/relationships/hyperlink" Target="https://produto.mercadolivre.com.br/MLB-3735822599-micro-inversor-tsun-tsol-ms2000-gen3-plus-wi-fi-_JM" TargetMode="External" Id="rId1"/><Relationship Type="http://schemas.openxmlformats.org/officeDocument/2006/relationships/hyperlink" Target="https://www.mercadolivre.com.br/motor-propulsor-1003348-kv--drone-dji-agras-t40--original/up/MLBU1132621671" TargetMode="External" Id="rId2"/><Relationship Type="http://schemas.openxmlformats.org/officeDocument/2006/relationships/hyperlink" Target="https://lista.mercadolivre.com.br/ventilador-caterpillar-5108095" TargetMode="External" Id="rId3"/><Relationship Type="http://schemas.openxmlformats.org/officeDocument/2006/relationships/hyperlink" Target="https://produto.mercadolivre.com.br/MLB-3516152465-valvula-direcional-solenoide-wk08j-01-c-n-0-hydac-2610215-_JM" TargetMode="External" Id="rId4"/><Relationship Type="http://schemas.openxmlformats.org/officeDocument/2006/relationships/hyperlink" Target="https://produto.mercadolivre.com.br/MLB-2148773679-sensor-proximidade-bently-nevada-3300xl-58mm-_JM" TargetMode="External" Id="rId5"/><Relationship Type="http://schemas.openxmlformats.org/officeDocument/2006/relationships/hyperlink" Target="https://lista.mercadolivre.com.br/modulo-drone-agricola-dji" TargetMode="External" Id="rId6"/><Relationship Type="http://schemas.openxmlformats.org/officeDocument/2006/relationships/hyperlink" Target="https://lista.mercadolivre.com.br/alicate-crimpador-hidraulico" TargetMode="External" Id="rId7"/><Relationship Type="http://schemas.openxmlformats.org/officeDocument/2006/relationships/hyperlink" Target="https://lista.mercadolivre.com.br/leitor-biometrico-kit-leitor-digital-maq" TargetMode="External" Id="rId8"/><Relationship Type="http://schemas.openxmlformats.org/officeDocument/2006/relationships/hyperlink" Target="https://lista.mercadolivre.com.br/partes-pecas-outras-maquinas-acessorio-lixadeira" TargetMode="External" Id="rId9"/><Relationship Type="http://schemas.openxmlformats.org/officeDocument/2006/relationships/hyperlink" Target="https://lista.mercadolivre.com.br/ferramenta-eletrica-ferramenta-crimpagem-hidraulica-awb0234831515370554360385" TargetMode="External" Id="rId10"/><Relationship Type="http://schemas.openxmlformats.org/officeDocument/2006/relationships/hyperlink" Target="https://lista.mercadolivre.com.br/partes-pecas-outras-maquinas-compressor-refrigeracao" TargetMode="External" Id="rId11"/><Relationship Type="http://schemas.openxmlformats.org/officeDocument/2006/relationships/hyperlink" Target="https://lista.mercadolivre.com.br/partes-pecas-outras-maquinas-arruela-maquina" TargetMode="External" Id="rId12"/><Relationship Type="http://schemas.openxmlformats.org/officeDocument/2006/relationships/hyperlink" Target="https://lista.mercadolivre.com.br/partes-pecas-outras-maquinas-purificador-agua" TargetMode="External" Id="rId13"/><Relationship Type="http://schemas.openxmlformats.org/officeDocument/2006/relationships/hyperlink" Target="https://lista.mercadolivre.com.br/pecas-diversas-kit-peca-cilindrica-metal" TargetMode="External" Id="rId14"/><Relationship Type="http://schemas.openxmlformats.org/officeDocument/2006/relationships/hyperlink" Target="https://lista.mercadolivre.com.br/partes-pecas-outras-maquinas-kit-reparo" TargetMode="External" Id="rId15"/><Relationship Type="http://schemas.openxmlformats.org/officeDocument/2006/relationships/hyperlink" Target="https://lista.mercadolivre.com.br/pecas-diversas-partes-pecas-drone-agricola" TargetMode="External" Id="rId16"/><Relationship Type="http://schemas.openxmlformats.org/officeDocument/2006/relationships/hyperlink" Target="https://lista.mercadolivre.com.br/partes-pecas-outras-maquinas-caixa-engrenagens" TargetMode="External" Id="rId17"/><Relationship Type="http://schemas.openxmlformats.org/officeDocument/2006/relationships/hyperlink" Target="https://lista.mercadolivre.com.br/pecas-diversas-elemento-ventilacao-acessorios-awb75928604441" TargetMode="External" Id="rId18"/><Relationship Type="http://schemas.openxmlformats.org/officeDocument/2006/relationships/hyperlink" Target="https://lista.mercadolivre.com.br/pecas-diversas-sonda-industrial-analizadora-gas" TargetMode="External" Id="rId19"/><Relationship Type="http://schemas.openxmlformats.org/officeDocument/2006/relationships/hyperlink" Target="https://lista.mercadolivre.com.br/pecas-diversas-junta-expansao-industrial-tecido" TargetMode="External" Id="rId20"/><Relationship Type="http://schemas.openxmlformats.org/officeDocument/2006/relationships/hyperlink" Target="https://lista.mercadolivre.com.br/partes-pecas-outras-maquinas-eixo-maquina" TargetMode="External" Id="rId21"/></Relationships>
</file>

<file path=xl/worksheets/_rels/sheet42.xml.rels><Relationships xmlns="http://schemas.openxmlformats.org/package/2006/relationships"><Relationship Type="http://schemas.openxmlformats.org/officeDocument/2006/relationships/hyperlink" Target="https://www.mercadolivre.com.br/mesa-de-som-digital-behringer-flow-8-mixer-8-canal-bluetooth/p/MLB24828691" TargetMode="External" Id="rId1"/><Relationship Type="http://schemas.openxmlformats.org/officeDocument/2006/relationships/hyperlink" Target="https://www.mercadolivre.com.br/pedal-de-efeito-neural-dsp-quad-cortex-preto/p/MLB19583707" TargetMode="External" Id="rId2"/><Relationship Type="http://schemas.openxmlformats.org/officeDocument/2006/relationships/hyperlink" Target="https://lista.mercadolivre.com.br/violao-violao-epiphone-awb0234717824609239303205" TargetMode="External" Id="rId3"/><Relationship Type="http://schemas.openxmlformats.org/officeDocument/2006/relationships/hyperlink" Target="https://lista.mercadolivre.com.br/pedal-instr-musical-pedal-expressao-mission" TargetMode="External" Id="rId4"/></Relationships>
</file>

<file path=xl/worksheets/_rels/sheet43.xml.rels><Relationships xmlns="http://schemas.openxmlformats.org/package/2006/relationships"><Relationship Type="http://schemas.openxmlformats.org/officeDocument/2006/relationships/hyperlink" Target="https://lista.mercadolivre.com.br/midtronics-dca-carregador-testador-bateria" TargetMode="External" Id="rId1"/><Relationship Type="http://schemas.openxmlformats.org/officeDocument/2006/relationships/hyperlink" Target="https://lista.mercadolivre.com.br/modulo-ecu-volvo" TargetMode="External" Id="rId2"/><Relationship Type="http://schemas.openxmlformats.org/officeDocument/2006/relationships/hyperlink" Target="https://lista.mercadolivre.com.br/refratometro-ureia-arla-32-automotivo" TargetMode="External" Id="rId3"/><Relationship Type="http://schemas.openxmlformats.org/officeDocument/2006/relationships/hyperlink" Target="https://lista.mercadolivre.com.br/testador-de-bateria-midtronics" TargetMode="External" Id="rId4"/><Relationship Type="http://schemas.openxmlformats.org/officeDocument/2006/relationships/hyperlink" Target="https://lista.mercadolivre.com.br/bicos-injetores-usados" TargetMode="External" Id="rId5"/><Relationship Type="http://schemas.openxmlformats.org/officeDocument/2006/relationships/hyperlink" Target="https://lista.mercadolivre.com.br/farol-automotivo-usado" TargetMode="External" Id="rId6"/><Relationship Type="http://schemas.openxmlformats.org/officeDocument/2006/relationships/hyperlink" Target="https://lista.mercadolivre.com.br/sensor-escavadeira-volvo-ec-210" TargetMode="External" Id="rId7"/><Relationship Type="http://schemas.openxmlformats.org/officeDocument/2006/relationships/hyperlink" Target="https://lista.mercadolivre.com.br/partes-pecas-automovel-modulo-controle-transmissao" TargetMode="External" Id="rId8"/><Relationship Type="http://schemas.openxmlformats.org/officeDocument/2006/relationships/hyperlink" Target="https://lista.mercadolivre.com.br/chave-chave-veiculos-awb992996181904478915280" TargetMode="External" Id="rId9"/><Relationship Type="http://schemas.openxmlformats.org/officeDocument/2006/relationships/hyperlink" Target="https://lista.mercadolivre.com.br/modulo-potencia-modulo-motor-duplo-siemens" TargetMode="External" Id="rId10"/><Relationship Type="http://schemas.openxmlformats.org/officeDocument/2006/relationships/hyperlink" Target="https://lista.mercadolivre.com.br/ferramenta-eletronica-kit-ferramenta-diagnostico-automotivo" TargetMode="External" Id="rId11"/><Relationship Type="http://schemas.openxmlformats.org/officeDocument/2006/relationships/hyperlink" Target="https://lista.mercadolivre.com.br/sensor-temperatura-sensor-temperatura-automotivo-diversos" TargetMode="External" Id="rId12"/><Relationship Type="http://schemas.openxmlformats.org/officeDocument/2006/relationships/hyperlink" Target="https://lista.mercadolivre.com.br/partes-pecas-automovel-refrigerador-oleo-motor" TargetMode="External" Id="rId13"/><Relationship Type="http://schemas.openxmlformats.org/officeDocument/2006/relationships/hyperlink" Target="https://lista.mercadolivre.com.br/sensor-temperatura-sensor-temperatura-automotivo-awb0235242503081049426505" TargetMode="External" Id="rId14"/><Relationship Type="http://schemas.openxmlformats.org/officeDocument/2006/relationships/hyperlink" Target="https://lista.mercadolivre.com.br/filtro-ar-regulador-filtro-ar-awb14356755460" TargetMode="External" Id="rId15"/><Relationship Type="http://schemas.openxmlformats.org/officeDocument/2006/relationships/hyperlink" Target="https://lista.mercadolivre.com.br/filtro-ar-regulador-filtro-ar-awb14356755460" TargetMode="External" Id="rId16"/><Relationship Type="http://schemas.openxmlformats.org/officeDocument/2006/relationships/hyperlink" Target="https://lista.mercadolivre.com.br/partes-pecas-automovel-sensor-pressao-oleo" TargetMode="External" Id="rId17"/><Relationship Type="http://schemas.openxmlformats.org/officeDocument/2006/relationships/hyperlink" Target="https://lista.mercadolivre.com.br/componentes-eletronicos-kit-monitoramento-rastreamento-veicular" TargetMode="External" Id="rId18"/><Relationship Type="http://schemas.openxmlformats.org/officeDocument/2006/relationships/hyperlink" Target="https://lista.mercadolivre.com.br/partes-pecas-automovel-farol-seta-automotivo" TargetMode="External" Id="rId19"/><Relationship Type="http://schemas.openxmlformats.org/officeDocument/2006/relationships/hyperlink" Target="https://lista.mercadolivre.com.br/partes-pecas-automovel-bobina-solenoide-automotiva" TargetMode="External" Id="rId20"/><Relationship Type="http://schemas.openxmlformats.org/officeDocument/2006/relationships/hyperlink" Target="https://lista.mercadolivre.com.br/partes-pecas-automovel-coxim-adaptavel-automotivo" TargetMode="External" Id="rId21"/><Relationship Type="http://schemas.openxmlformats.org/officeDocument/2006/relationships/hyperlink" Target="https://lista.mercadolivre.com.br/partes-pecas-automovel-caixa-engrenagens-automotivo" TargetMode="External" Id="rId22"/><Relationship Type="http://schemas.openxmlformats.org/officeDocument/2006/relationships/hyperlink" Target="https://lista.mercadolivre.com.br/pecas-diversas-kit-motor-pistao-aneis" TargetMode="External" Id="rId23"/><Relationship Type="http://schemas.openxmlformats.org/officeDocument/2006/relationships/hyperlink" Target="https://lista.mercadolivre.com.br/partes-pecas-veiculos-modulo-controle-awb992996104209611218606" TargetMode="External" Id="rId24"/></Relationships>
</file>

<file path=xl/worksheets/_rels/sheet44.xml.rels><Relationships xmlns="http://schemas.openxmlformats.org/package/2006/relationships"><Relationship Type="http://schemas.openxmlformats.org/officeDocument/2006/relationships/hyperlink" Target="https://lista.mercadolivre.com.br/buzina-hornblaster" TargetMode="External" Id="rId1"/><Relationship Type="http://schemas.openxmlformats.org/officeDocument/2006/relationships/hyperlink" Target="https://produto.mercadolivre.com.br/MLB-1601682662-navegador-gps-transponder-ais-classe-b-matsutec-hp528a-_JM" TargetMode="External" Id="rId2"/><Relationship Type="http://schemas.openxmlformats.org/officeDocument/2006/relationships/hyperlink" Target="https://lista.mercadolivre.com.br/kit-flap-bennett" TargetMode="External" Id="rId3"/></Relationships>
</file>

<file path=xl/worksheets/_rels/sheet45.xml.rels><Relationships xmlns="http://schemas.openxmlformats.org/package/2006/relationships"><Relationship Type="http://schemas.openxmlformats.org/officeDocument/2006/relationships/hyperlink" Target="https://lista.mercadolivre.com.br/telefone-ip-cisco-cp-8832" TargetMode="External" Id="rId1"/><Relationship Type="http://schemas.openxmlformats.org/officeDocument/2006/relationships/hyperlink" Target="https://lista.mercadolivre.com.br/ihm-beijer-exter-t100" TargetMode="External" Id="rId2"/><Relationship Type="http://schemas.openxmlformats.org/officeDocument/2006/relationships/hyperlink" Target="https://lista.mercadolivre.com.br/mini-gravador-de-voz-v15" TargetMode="External" Id="rId3"/><Relationship Type="http://schemas.openxmlformats.org/officeDocument/2006/relationships/hyperlink" Target="https://lista.mercadolivre.com.br/poly-tc8-p020" TargetMode="External" Id="rId4"/><Relationship Type="http://schemas.openxmlformats.org/officeDocument/2006/relationships/hyperlink" Target="https://www.mercadolivre.com.br/servidor-lenovo-thinksystem-sr650-v2-12c/p/MLB36009068" TargetMode="External" Id="rId5"/><Relationship Type="http://schemas.openxmlformats.org/officeDocument/2006/relationships/hyperlink" Target="https://www.mercadolivre.com.br/servidor-lenovo-thinksystem-sr650-v2-12c/p/MLB36009068" TargetMode="External" Id="rId6"/><Relationship Type="http://schemas.openxmlformats.org/officeDocument/2006/relationships/hyperlink" Target="https://lista.mercadolivre.com.br/tela-de-celular" TargetMode="External" Id="rId7"/><Relationship Type="http://schemas.openxmlformats.org/officeDocument/2006/relationships/hyperlink" Target="https://lista.mercadolivre.com.br/gabinete-gabinete-servidor-lenovo-m5-dsicd2300105226" TargetMode="External" Id="rId8"/><Relationship Type="http://schemas.openxmlformats.org/officeDocument/2006/relationships/hyperlink" Target="https://lista.mercadolivre.com.br/gravador-video-digital-gravador-video-rede" TargetMode="External" Id="rId9"/><Relationship Type="http://schemas.openxmlformats.org/officeDocument/2006/relationships/hyperlink" Target="https://lista.mercadolivre.com.br/microfone-kit-microfones-unidades-cada-cisco" TargetMode="External" Id="rId10"/><Relationship Type="http://schemas.openxmlformats.org/officeDocument/2006/relationships/hyperlink" Target="https://lista.mercadolivre.com.br/cpu-mini-cpu-awb992996389547778765153" TargetMode="External" Id="rId11"/><Relationship Type="http://schemas.openxmlformats.org/officeDocument/2006/relationships/hyperlink" Target="https://lista.mercadolivre.com.br/componentes-eletronicos-placa-memoria-samsung-dsicd2300105226" TargetMode="External" Id="rId12"/><Relationship Type="http://schemas.openxmlformats.org/officeDocument/2006/relationships/hyperlink" Target="https://lista.mercadolivre.com.br/conversor-audio-conversor-video-elgato-2vc309902000" TargetMode="External" Id="rId13"/><Relationship Type="http://schemas.openxmlformats.org/officeDocument/2006/relationships/hyperlink" Target="https://lista.mercadolivre.com.br/suporte-tv-suporte-parede-monitores-tripp" TargetMode="External" Id="rId14"/><Relationship Type="http://schemas.openxmlformats.org/officeDocument/2006/relationships/hyperlink" Target="https://lista.mercadolivre.com.br/mouse-pad-mouse-pad-corsair-mm200" TargetMode="External" Id="rId15"/><Relationship Type="http://schemas.openxmlformats.org/officeDocument/2006/relationships/hyperlink" Target="https://lista.mercadolivre.com.br/teclado-computador-mini-teclado-jogos-corsair" TargetMode="External" Id="rId16"/><Relationship Type="http://schemas.openxmlformats.org/officeDocument/2006/relationships/hyperlink" Target="https://lista.mercadolivre.com.br/suporte-luminaria-suporte-articulado-elgato-10aac9901" TargetMode="External" Id="rId17"/><Relationship Type="http://schemas.openxmlformats.org/officeDocument/2006/relationships/hyperlink" Target="https://lista.mercadolivre.com.br/tela-lcd-eletronicos-tela-frontal-celular" TargetMode="External" Id="rId18"/><Relationship Type="http://schemas.openxmlformats.org/officeDocument/2006/relationships/hyperlink" Target="https://lista.mercadolivre.com.br/pecas-diversas-filtro-microfone-elgato-awbg2b4983lsnq" TargetMode="External" Id="rId19"/><Relationship Type="http://schemas.openxmlformats.org/officeDocument/2006/relationships/hyperlink" Target="https://lista.mercadolivre.com.br/processador-cpu-processador-servidor-intel-e5" TargetMode="External" Id="rId20"/><Relationship Type="http://schemas.openxmlformats.org/officeDocument/2006/relationships/hyperlink" Target="https://lista.mercadolivre.com.br/cabo-rede-cabo-rede-awb992996389547778765153" TargetMode="External" Id="rId21"/><Relationship Type="http://schemas.openxmlformats.org/officeDocument/2006/relationships/hyperlink" Target="https://lista.mercadolivre.com.br/cartao-memoria-flash-cartao-memoria-16gb" TargetMode="External" Id="rId22"/><Relationship Type="http://schemas.openxmlformats.org/officeDocument/2006/relationships/hyperlink" Target="https://lista.mercadolivre.com.br/fonte-energia-kit-fonte-alimentacao-lampada" TargetMode="External" Id="rId23"/><Relationship Type="http://schemas.openxmlformats.org/officeDocument/2006/relationships/hyperlink" Target="https://lista.mercadolivre.com.br/cabo-hdmi-cabo-hdmi-startech-awb992996389547778765153" TargetMode="External" Id="rId24"/><Relationship Type="http://schemas.openxmlformats.org/officeDocument/2006/relationships/hyperlink" Target="https://lista.mercadolivre.com.br/componentes-eletronicos-equipamento-informatica-rede-ep" TargetMode="External" Id="rId25"/><Relationship Type="http://schemas.openxmlformats.org/officeDocument/2006/relationships/hyperlink" Target="https://lista.mercadolivre.com.br/componentes-eletronicos-componentes-eletronicos-unidade-disparo" TargetMode="External" Id="rId26"/><Relationship Type="http://schemas.openxmlformats.org/officeDocument/2006/relationships/hyperlink" Target="https://lista.mercadolivre.com.br/componentes-eletronicos-partes-pecas-celular-diversos" TargetMode="External" Id="rId27"/><Relationship Type="http://schemas.openxmlformats.org/officeDocument/2006/relationships/hyperlink" Target="https://lista.mercadolivre.com.br/componentes-eletronicos-acessorio-celular-fonte-carregador" TargetMode="External" Id="rId28"/><Relationship Type="http://schemas.openxmlformats.org/officeDocument/2006/relationships/hyperlink" Target="https://lista.mercadolivre.com.br/tela-lcd-eletronicos-tela-touch-bluefin" TargetMode="External" Id="rId29"/><Relationship Type="http://schemas.openxmlformats.org/officeDocument/2006/relationships/hyperlink" Target="https://lista.mercadolivre.com.br/partes-pecas-celular-kit-sensor-camera" TargetMode="External" Id="rId30"/><Relationship Type="http://schemas.openxmlformats.org/officeDocument/2006/relationships/hyperlink" Target="https://lista.mercadolivre.com.br/pecas-diversas-disco-aco-suporte-20aad9901" TargetMode="External" Id="rId31"/><Relationship Type="http://schemas.openxmlformats.org/officeDocument/2006/relationships/hyperlink" Target="https://lista.mercadolivre.com.br/placas-diversas-comput-placa-circuito-impresso" TargetMode="External" Id="rId32"/><Relationship Type="http://schemas.openxmlformats.org/officeDocument/2006/relationships/hyperlink" Target="https://lista.mercadolivre.com.br/componentes-eletronicos-acessorio-informatica-bateria-dsicd2300105226" TargetMode="External" Id="rId33"/><Relationship Type="http://schemas.openxmlformats.org/officeDocument/2006/relationships/hyperlink" Target="https://lista.mercadolivre.com.br/componentes-eletronicos-acessorio-informatica-bateria-dell" TargetMode="External" Id="rId34"/><Relationship Type="http://schemas.openxmlformats.org/officeDocument/2006/relationships/hyperlink" Target="https://lista.mercadolivre.com.br/componentes-eletronicos-modulo-controlador-eletronico-dell" TargetMode="External" Id="rId35"/><Relationship Type="http://schemas.openxmlformats.org/officeDocument/2006/relationships/hyperlink" Target="https://lista.mercadolivre.com.br/componentes-eletronicos-dissipador-servidor-eletronico-dsicd2300105226" TargetMode="External" Id="rId36"/><Relationship Type="http://schemas.openxmlformats.org/officeDocument/2006/relationships/hyperlink" Target="https://lista.mercadolivre.com.br/componentes-eletronicos-placa-controladora-eletronica-dsicd2300105226" TargetMode="External" Id="rId37"/></Relationships>
</file>

<file path=xl/worksheets/_rels/sheet46.xml.rels><Relationships xmlns="http://schemas.openxmlformats.org/package/2006/relationships"><Relationship Type="http://schemas.openxmlformats.org/officeDocument/2006/relationships/hyperlink" Target="https://www.mercadolivre.com.br/processador-de-video-vx2000-pro-novastar-20-portas-moderno/up/MLBU32458957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lista.mercadolivre.com.br/servo-motor-sunslew" TargetMode="External" Id="rId1"/><Relationship Type="http://schemas.openxmlformats.org/officeDocument/2006/relationships/hyperlink" Target="https://lista.mercadolivre.com.br/servo-motor-yaskawa" TargetMode="External" Id="rId2"/><Relationship Type="http://schemas.openxmlformats.org/officeDocument/2006/relationships/hyperlink" Target="https://lista.mercadolivre.com.br/servo-driver-mitsubishi-mr-j4-40a" TargetMode="External" Id="rId3"/><Relationship Type="http://schemas.openxmlformats.org/officeDocument/2006/relationships/hyperlink" Target="https://lista.mercadolivre.com.br/servo-driver-automacao-servo-drive-awb992996104207735311010" TargetMode="External" Id="rId4"/></Relationships>
</file>

<file path=xl/worksheets/_rels/sheet48.xml.rels><Relationships xmlns="http://schemas.openxmlformats.org/package/2006/relationships"><Relationship Type="http://schemas.openxmlformats.org/officeDocument/2006/relationships/hyperlink" Target="https://lista.mercadolivre.com.br/receptor-gnss-rtk-tersus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lista.mercadolivre.com.br/maquina-marcacao-laser-fibra-usada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lista.mercadolivre.com.br/ssd-120gb-usado" TargetMode="External" Id="rId1"/><Relationship Type="http://schemas.openxmlformats.org/officeDocument/2006/relationships/hyperlink" Target="https://lista.mercadolivre.com.br/ssd-intel-3.84tb-sata-datacenter" TargetMode="External" Id="rId2"/><Relationship Type="http://schemas.openxmlformats.org/officeDocument/2006/relationships/hyperlink" Target="https://lista.mercadolivre.com.br/hd-3tb-sata-7.2k-enterprise" TargetMode="External" Id="rId3"/><Relationship Type="http://schemas.openxmlformats.org/officeDocument/2006/relationships/hyperlink" Target="https://lista.mercadolivre.com.br/hd-hd-4tb-10k-dell-dsicd2300105226" TargetMode="External" Id="rId4"/><Relationship Type="http://schemas.openxmlformats.org/officeDocument/2006/relationships/hyperlink" Target="https://lista.mercadolivre.com.br/hd-ssd-sata-92tb-hp-sm863" TargetMode="External" Id="rId5"/><Relationship Type="http://schemas.openxmlformats.org/officeDocument/2006/relationships/hyperlink" Target="https://lista.mercadolivre.com.br/componentes-eletronicos-ssd-sata-92tb-intel" TargetMode="External" Id="rId6"/><Relationship Type="http://schemas.openxmlformats.org/officeDocument/2006/relationships/hyperlink" Target="https://lista.mercadolivre.com.br/hd-hd-sata-8tb-2k-hp" TargetMode="External" Id="rId7"/><Relationship Type="http://schemas.openxmlformats.org/officeDocument/2006/relationships/hyperlink" Target="https://lista.mercadolivre.com.br/hd-hd-sata-500gb-2k-ibm" TargetMode="External" Id="rId8"/><Relationship Type="http://schemas.openxmlformats.org/officeDocument/2006/relationships/hyperlink" Target="https://lista.mercadolivre.com.br/hd-hd-sata-900gb-10k-hp" TargetMode="External" Id="rId9"/><Relationship Type="http://schemas.openxmlformats.org/officeDocument/2006/relationships/hyperlink" Target="https://lista.mercadolivre.com.br/hd-hd-sata-2tb-2k-ibm" TargetMode="External" Id="rId10"/><Relationship Type="http://schemas.openxmlformats.org/officeDocument/2006/relationships/hyperlink" Target="https://lista.mercadolivre.com.br/hd-hd-sata-600gb-15k-ibm" TargetMode="External" Id="rId11"/><Relationship Type="http://schemas.openxmlformats.org/officeDocument/2006/relationships/hyperlink" Target="https://lista.mercadolivre.com.br/hd-hd-sata-4tb-2k-seagate" TargetMode="External" Id="rId12"/><Relationship Type="http://schemas.openxmlformats.org/officeDocument/2006/relationships/hyperlink" Target="https://lista.mercadolivre.com.br/hd-hd-sata-900gb-10k-hp" TargetMode="External" Id="rId13"/><Relationship Type="http://schemas.openxmlformats.org/officeDocument/2006/relationships/hyperlink" Target="https://lista.mercadolivre.com.br/hd-hd-sata-500gb-ibm-42d0752" TargetMode="External" Id="rId14"/><Relationship Type="http://schemas.openxmlformats.org/officeDocument/2006/relationships/hyperlink" Target="https://lista.mercadolivre.com.br/hd-hd-sata-900gb-10k-hp" TargetMode="External" Id="rId15"/><Relationship Type="http://schemas.openxmlformats.org/officeDocument/2006/relationships/hyperlink" Target="https://lista.mercadolivre.com.br/hd-hd-sata-900gb-10k-hp" TargetMode="External" Id="rId16"/><Relationship Type="http://schemas.openxmlformats.org/officeDocument/2006/relationships/hyperlink" Target="https://lista.mercadolivre.com.br/hd-hd-sata-500gb-2k-ibm" TargetMode="External" Id="rId17"/></Relationships>
</file>

<file path=xl/worksheets/_rels/sheet51.xml.rels><Relationships xmlns="http://schemas.openxmlformats.org/package/2006/relationships"><Relationship Type="http://schemas.openxmlformats.org/officeDocument/2006/relationships/hyperlink" Target="https://lista.mercadolivre.com.br/yealink-meetingboard-75-pro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lista.mercadolivre.com.br/bateria-dji-agras-t40" TargetMode="External" Id="rId1"/><Relationship Type="http://schemas.openxmlformats.org/officeDocument/2006/relationships/hyperlink" Target="https://lista.mercadolivre.com.br/drone-radiocontrolado-drone-pulverizador-agricola-desmontado" TargetMode="External" Id="rId2"/><Relationship Type="http://schemas.openxmlformats.org/officeDocument/2006/relationships/hyperlink" Target="https://lista.mercadolivre.com.br/gps-modem-gps-raven-awb60rf28h7sfl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https://lista.mercadolivre.com.br/otoscopio-welch-allyn" TargetMode="External" Id="rId1"/><Relationship Type="http://schemas.openxmlformats.org/officeDocument/2006/relationships/hyperlink" Target="https://lista.mercadolivre.com.br/medidor-de-pressao-arterial-welch-ally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0" customWidth="1" min="3" max="3"/>
    <col width="16" customWidth="1" min="4" max="4"/>
    <col width="15" customWidth="1" min="5" max="5"/>
    <col width="14" customWidth="1" min="6" max="6"/>
    <col width="12" customWidth="1" min="7" max="7"/>
  </cols>
  <sheetData>
    <row r="1">
      <c r="A1" s="1" t="inlineStr">
        <is>
          <t>LEILÕES RECEITA FEDERAL — ANÁLISE POR LOTE</t>
        </is>
      </c>
    </row>
    <row r="2">
      <c r="A2" s="2" t="inlineStr">
        <is>
          <t>Clique no lote para abrir a aba. Item por item, preço e link do Mercado Livre. Cor vermelha = preço não encontrado.</t>
        </is>
      </c>
    </row>
    <row r="4">
      <c r="A4" s="3" t="inlineStr">
        <is>
          <t>Recinto / Leilão</t>
        </is>
      </c>
      <c r="B4" s="3" t="inlineStr">
        <is>
          <t>Lote</t>
        </is>
      </c>
      <c r="C4" s="3" t="inlineStr">
        <is>
          <t>Tipo</t>
        </is>
      </c>
      <c r="D4" s="3" t="inlineStr">
        <is>
          <t>Preço mín (edital)</t>
        </is>
      </c>
      <c r="E4" s="3" t="inlineStr">
        <is>
          <t>Valor mercado</t>
        </is>
      </c>
      <c r="F4" s="3" t="inlineStr">
        <is>
          <t>Lance ideal</t>
        </is>
      </c>
      <c r="G4" s="3" t="inlineStr">
        <is>
          <t>Veredito</t>
        </is>
      </c>
    </row>
    <row r="5">
      <c r="A5" s="4" t="inlineStr">
        <is>
          <t>DEICMAR (SANTOS)</t>
        </is>
      </c>
      <c r="B5" s="5" t="n"/>
      <c r="C5" s="5" t="n"/>
      <c r="D5" s="5" t="n"/>
      <c r="E5" s="5" t="n"/>
      <c r="F5" s="5" t="n"/>
      <c r="G5" s="6" t="n"/>
    </row>
    <row r="6">
      <c r="A6" t="inlineStr"/>
      <c r="B6" s="7">
        <f>HYPERLINK("#'Deicmar L89'!A1","Lote 89 ▸")</f>
        <v/>
      </c>
      <c r="C6" s="8" t="inlineStr">
        <is>
          <t>APARELHO/PEÇA MECÂNICA</t>
        </is>
      </c>
      <c r="D6" s="9" t="n">
        <v>1100</v>
      </c>
      <c r="E6" s="9" t="n">
        <v>0</v>
      </c>
      <c r="F6" s="9" t="n">
        <v>0</v>
      </c>
      <c r="G6" s="10" t="inlineStr">
        <is>
          <t>SEM PREÇO</t>
        </is>
      </c>
    </row>
    <row r="7">
      <c r="A7" t="inlineStr"/>
      <c r="B7" s="7">
        <f>HYPERLINK("#'Deicmar L91'!A1","Lote 91 ▸")</f>
        <v/>
      </c>
      <c r="C7" s="8" t="inlineStr">
        <is>
          <t>DIVERSOS</t>
        </is>
      </c>
      <c r="D7" s="9" t="n">
        <v>2300</v>
      </c>
      <c r="E7" s="9" t="n">
        <v>8507</v>
      </c>
      <c r="F7" s="9" t="n">
        <v>3871</v>
      </c>
      <c r="G7" s="11" t="inlineStr">
        <is>
          <t>ÓTIMO</t>
        </is>
      </c>
    </row>
    <row r="8">
      <c r="A8" s="4" t="inlineStr">
        <is>
          <t>EMBRAPORT (SANTOS)</t>
        </is>
      </c>
      <c r="B8" s="5" t="n"/>
      <c r="C8" s="5" t="n"/>
      <c r="D8" s="5" t="n"/>
      <c r="E8" s="5" t="n"/>
      <c r="F8" s="5" t="n"/>
      <c r="G8" s="6" t="n"/>
    </row>
    <row r="9">
      <c r="A9" t="inlineStr"/>
      <c r="B9" s="7">
        <f>HYPERLINK("#'Embraport L124'!A1","Lote 124 ▸")</f>
        <v/>
      </c>
      <c r="C9" s="8" t="inlineStr">
        <is>
          <t>APARELHO/PEÇA MECÂNICA</t>
        </is>
      </c>
      <c r="D9" s="9" t="n">
        <v>141000</v>
      </c>
      <c r="E9" s="9" t="n">
        <v>274480</v>
      </c>
      <c r="F9" s="9" t="n">
        <v>124888</v>
      </c>
      <c r="G9" s="12" t="inlineStr">
        <is>
          <t>APERTADO</t>
        </is>
      </c>
    </row>
    <row r="10">
      <c r="A10" s="4" t="inlineStr">
        <is>
          <t>EUDMARCO (SANTOS)</t>
        </is>
      </c>
      <c r="B10" s="5" t="n"/>
      <c r="C10" s="5" t="n"/>
      <c r="D10" s="5" t="n"/>
      <c r="E10" s="5" t="n"/>
      <c r="F10" s="5" t="n"/>
      <c r="G10" s="6" t="n"/>
    </row>
    <row r="11">
      <c r="A11" t="inlineStr"/>
      <c r="B11" s="7">
        <f>HYPERLINK("#'Eudmarco L95'!A1","Lote 95 ▸")</f>
        <v/>
      </c>
      <c r="C11" s="8" t="inlineStr">
        <is>
          <t>DIVERSOS</t>
        </is>
      </c>
      <c r="D11" s="9" t="n">
        <v>31000</v>
      </c>
      <c r="E11" s="9" t="n">
        <v>93920</v>
      </c>
      <c r="F11" s="9" t="n">
        <v>42734</v>
      </c>
      <c r="G11" s="11" t="inlineStr">
        <is>
          <t>ÓTIMO</t>
        </is>
      </c>
    </row>
    <row r="12">
      <c r="A12" t="inlineStr"/>
      <c r="B12" s="7">
        <f>HYPERLINK("#'Eudmarco L97'!A1","Lote 97 ▸")</f>
        <v/>
      </c>
      <c r="C12" s="8" t="inlineStr">
        <is>
          <t>ARTIGO ESPORTIVO</t>
        </is>
      </c>
      <c r="D12" s="9" t="n">
        <v>16200</v>
      </c>
      <c r="E12" s="9" t="n">
        <v>67880</v>
      </c>
      <c r="F12" s="9" t="n">
        <v>30885</v>
      </c>
      <c r="G12" s="11" t="inlineStr">
        <is>
          <t>ÓTIMO</t>
        </is>
      </c>
    </row>
    <row r="13">
      <c r="A13" t="inlineStr"/>
      <c r="B13" s="7">
        <f>HYPERLINK("#'Eudmarco L98'!A1","Lote 98 ▸")</f>
        <v/>
      </c>
      <c r="C13" s="8" t="inlineStr">
        <is>
          <t>COMPONENTE ELETRÔNICO</t>
        </is>
      </c>
      <c r="D13" s="9" t="n">
        <v>25400</v>
      </c>
      <c r="E13" s="9" t="n">
        <v>138000</v>
      </c>
      <c r="F13" s="9" t="n">
        <v>62790</v>
      </c>
      <c r="G13" s="11" t="inlineStr">
        <is>
          <t>ÓTIMO</t>
        </is>
      </c>
    </row>
    <row r="14">
      <c r="A14" t="inlineStr"/>
      <c r="B14" s="7">
        <f>HYPERLINK("#'Eudmarco L102'!A1","Lote 102 ▸")</f>
        <v/>
      </c>
      <c r="C14" s="8" t="inlineStr">
        <is>
          <t>APARELHO/PEÇA MECÂNICA</t>
        </is>
      </c>
      <c r="D14" s="9" t="n">
        <v>3300</v>
      </c>
      <c r="E14" s="9" t="n">
        <v>14300</v>
      </c>
      <c r="F14" s="9" t="n">
        <v>6506</v>
      </c>
      <c r="G14" s="11" t="inlineStr">
        <is>
          <t>ÓTIMO</t>
        </is>
      </c>
    </row>
    <row r="15">
      <c r="A15" s="4" t="inlineStr">
        <is>
          <t>FLORIANÓPOLIS</t>
        </is>
      </c>
      <c r="B15" s="5" t="n"/>
      <c r="C15" s="5" t="n"/>
      <c r="D15" s="5" t="n"/>
      <c r="E15" s="5" t="n"/>
      <c r="F15" s="5" t="n"/>
      <c r="G15" s="6" t="n"/>
    </row>
    <row r="16">
      <c r="A16" t="inlineStr"/>
      <c r="B16" s="7">
        <f>HYPERLINK("#'Floripa L116'!A1","Lote 116 ▸")</f>
        <v/>
      </c>
      <c r="C16" s="8" t="inlineStr">
        <is>
          <t>RELÓGIO/PARTE</t>
        </is>
      </c>
      <c r="D16" s="9" t="n">
        <v>67990</v>
      </c>
      <c r="E16" s="9" t="n">
        <v>126520</v>
      </c>
      <c r="F16" s="9" t="n">
        <v>57567</v>
      </c>
      <c r="G16" s="12" t="inlineStr">
        <is>
          <t>APERTADO</t>
        </is>
      </c>
    </row>
    <row r="17">
      <c r="A17" t="inlineStr"/>
      <c r="B17" s="7">
        <f>HYPERLINK("#'Floripa L117'!A1","Lote 117 ▸")</f>
        <v/>
      </c>
      <c r="C17" s="8" t="inlineStr">
        <is>
          <t>BICICLETA/ACESSÓRIO</t>
        </is>
      </c>
      <c r="D17" s="9" t="n">
        <v>27790</v>
      </c>
      <c r="E17" s="9" t="n">
        <v>33000</v>
      </c>
      <c r="F17" s="9" t="n">
        <v>15015</v>
      </c>
      <c r="G17" s="13" t="inlineStr">
        <is>
          <t>CARO</t>
        </is>
      </c>
    </row>
    <row r="18">
      <c r="A18" t="inlineStr"/>
      <c r="B18" s="7">
        <f>HYPERLINK("#'Floripa L118'!A1","Lote 118 ▸")</f>
        <v/>
      </c>
      <c r="C18" s="8" t="inlineStr">
        <is>
          <t>MÉDICO/ODONTO/HOSPITALAR</t>
        </is>
      </c>
      <c r="D18" s="9" t="n">
        <v>63490</v>
      </c>
      <c r="E18" s="9" t="n">
        <v>86390</v>
      </c>
      <c r="F18" s="9" t="n">
        <v>39307</v>
      </c>
      <c r="G18" s="13" t="inlineStr">
        <is>
          <t>CARO</t>
        </is>
      </c>
    </row>
    <row r="19">
      <c r="A19" t="inlineStr"/>
      <c r="B19" s="7">
        <f>HYPERLINK("#'Floripa L119'!A1","Lote 119 ▸")</f>
        <v/>
      </c>
      <c r="C19" s="8" t="inlineStr">
        <is>
          <t>PEÇA/ACESSÓRIO PARA VEÍCULO</t>
        </is>
      </c>
      <c r="D19" s="9" t="n">
        <v>43590</v>
      </c>
      <c r="E19" s="9" t="n">
        <v>58500</v>
      </c>
      <c r="F19" s="9" t="n">
        <v>26618</v>
      </c>
      <c r="G19" s="13" t="inlineStr">
        <is>
          <t>CARO</t>
        </is>
      </c>
    </row>
    <row r="20">
      <c r="A20" t="inlineStr"/>
      <c r="B20" s="7">
        <f>HYPERLINK("#'Floripa L120'!A1","Lote 120 ▸")</f>
        <v/>
      </c>
      <c r="C20" s="8" t="inlineStr">
        <is>
          <t>UTENSÍLIO DOMÉSTICO</t>
        </is>
      </c>
      <c r="D20" s="9" t="n">
        <v>62900</v>
      </c>
      <c r="E20" s="9" t="n">
        <v>94100</v>
      </c>
      <c r="F20" s="9" t="n">
        <v>42816</v>
      </c>
      <c r="G20" s="13" t="inlineStr">
        <is>
          <t>CARO</t>
        </is>
      </c>
    </row>
    <row r="21">
      <c r="A21" t="inlineStr"/>
      <c r="B21" s="7">
        <f>HYPERLINK("#'Floripa L121'!A1","Lote 121 ▸")</f>
        <v/>
      </c>
      <c r="C21" s="8" t="inlineStr">
        <is>
          <t>INSTRUMENTO MUSICAL</t>
        </is>
      </c>
      <c r="D21" s="9" t="n">
        <v>99890</v>
      </c>
      <c r="E21" s="9" t="n">
        <v>219860</v>
      </c>
      <c r="F21" s="9" t="n">
        <v>100036</v>
      </c>
      <c r="G21" s="11" t="inlineStr">
        <is>
          <t>BOM</t>
        </is>
      </c>
    </row>
    <row r="22">
      <c r="A22" t="inlineStr"/>
      <c r="B22" s="7">
        <f>HYPERLINK("#'Floripa L122'!A1","Lote 122 ▸")</f>
        <v/>
      </c>
      <c r="C22" s="8" t="inlineStr">
        <is>
          <t>FILMADORA/ACESSÓRIO</t>
        </is>
      </c>
      <c r="D22" s="9" t="n">
        <v>72980</v>
      </c>
      <c r="E22" s="9" t="n">
        <v>218920</v>
      </c>
      <c r="F22" s="9" t="n">
        <v>99609</v>
      </c>
      <c r="G22" s="11" t="inlineStr">
        <is>
          <t>ÓTIMO</t>
        </is>
      </c>
    </row>
    <row r="23">
      <c r="A23" s="4" t="inlineStr">
        <is>
          <t>FOZ DO IGUAÇU</t>
        </is>
      </c>
      <c r="B23" s="5" t="n"/>
      <c r="C23" s="5" t="n"/>
      <c r="D23" s="5" t="n"/>
      <c r="E23" s="5" t="n"/>
      <c r="F23" s="5" t="n"/>
      <c r="G23" s="6" t="n"/>
    </row>
    <row r="24">
      <c r="A24" t="inlineStr"/>
      <c r="B24" s="7">
        <f>HYPERLINK("#'Foz L152'!A1","Lote 152 ▸")</f>
        <v/>
      </c>
      <c r="C24" s="8" t="inlineStr">
        <is>
          <t>BICICLETA/ACESSÓRIO</t>
        </is>
      </c>
      <c r="D24" s="9" t="n">
        <v>12000</v>
      </c>
      <c r="E24" s="9" t="n">
        <v>16000</v>
      </c>
      <c r="F24" s="9" t="n">
        <v>7280</v>
      </c>
      <c r="G24" s="13" t="inlineStr">
        <is>
          <t>CARO</t>
        </is>
      </c>
    </row>
    <row r="25">
      <c r="A25" t="inlineStr"/>
      <c r="B25" s="7">
        <f>HYPERLINK("#'Foz L154'!A1","Lote 154 ▸")</f>
        <v/>
      </c>
      <c r="C25" s="8" t="inlineStr">
        <is>
          <t>ELETRÔNICO/ÁUDIO/VÍDEO</t>
        </is>
      </c>
      <c r="D25" s="9" t="n">
        <v>57000</v>
      </c>
      <c r="E25" s="9" t="n">
        <v>151650</v>
      </c>
      <c r="F25" s="9" t="n">
        <v>69001</v>
      </c>
      <c r="G25" s="11" t="inlineStr">
        <is>
          <t>BOM</t>
        </is>
      </c>
    </row>
    <row r="26">
      <c r="A26" t="inlineStr"/>
      <c r="B26" s="7">
        <f>HYPERLINK("#'Foz L155'!A1","Lote 155 ▸")</f>
        <v/>
      </c>
      <c r="C26" s="8" t="inlineStr">
        <is>
          <t>INFORMÁTICA</t>
        </is>
      </c>
      <c r="D26" s="9" t="n">
        <v>92000</v>
      </c>
      <c r="E26" s="9" t="n">
        <v>230900</v>
      </c>
      <c r="F26" s="9" t="n">
        <v>105060</v>
      </c>
      <c r="G26" s="11" t="inlineStr">
        <is>
          <t>BOM</t>
        </is>
      </c>
    </row>
    <row r="27">
      <c r="A27" s="4" t="inlineStr">
        <is>
          <t>GUARULHOS (GRU)</t>
        </is>
      </c>
      <c r="B27" s="5" t="n"/>
      <c r="C27" s="5" t="n"/>
      <c r="D27" s="5" t="n"/>
      <c r="E27" s="5" t="n"/>
      <c r="F27" s="5" t="n"/>
      <c r="G27" s="6" t="n"/>
    </row>
    <row r="28">
      <c r="A28" t="inlineStr"/>
      <c r="B28" s="7">
        <f>HYPERLINK("#'Guarulhos L14'!A1","Lote 14 ▸")</f>
        <v/>
      </c>
      <c r="C28" s="8" t="inlineStr">
        <is>
          <t>OBJETO DE ARTE/COLEÇÃO/ANTIGUIDADE</t>
        </is>
      </c>
      <c r="D28" s="9" t="n">
        <v>1800</v>
      </c>
      <c r="E28" s="9" t="n">
        <v>2220</v>
      </c>
      <c r="F28" s="9" t="n">
        <v>1010</v>
      </c>
      <c r="G28" s="13" t="inlineStr">
        <is>
          <t>CARO</t>
        </is>
      </c>
    </row>
    <row r="29">
      <c r="A29" t="inlineStr"/>
      <c r="B29" s="7">
        <f>HYPERLINK("#'Guarulhos L23'!A1","Lote 23 ▸")</f>
        <v/>
      </c>
      <c r="C29" s="8" t="inlineStr">
        <is>
          <t>BOLSA/CALÇADOS</t>
        </is>
      </c>
      <c r="D29" s="9" t="n">
        <v>20000</v>
      </c>
      <c r="E29" s="9" t="n">
        <v>477465</v>
      </c>
      <c r="F29" s="9" t="n">
        <v>217247</v>
      </c>
      <c r="G29" s="11" t="inlineStr">
        <is>
          <t>ÓTIMO</t>
        </is>
      </c>
    </row>
    <row r="30">
      <c r="A30" t="inlineStr"/>
      <c r="B30" s="7">
        <f>HYPERLINK("#'Guarulhos L24'!A1","Lote 24 ▸")</f>
        <v/>
      </c>
      <c r="C30" s="8" t="inlineStr">
        <is>
          <t>COMPONENTE ELETRÔNICO</t>
        </is>
      </c>
      <c r="D30" s="9" t="n">
        <v>380</v>
      </c>
      <c r="E30" s="9" t="n">
        <v>1510</v>
      </c>
      <c r="F30" s="9" t="n">
        <v>687</v>
      </c>
      <c r="G30" s="11" t="inlineStr">
        <is>
          <t>ÓTIMO</t>
        </is>
      </c>
    </row>
    <row r="31">
      <c r="A31" t="inlineStr"/>
      <c r="B31" s="7">
        <f>HYPERLINK("#'Guarulhos L29'!A1","Lote 29 ▸")</f>
        <v/>
      </c>
      <c r="C31" s="8" t="inlineStr">
        <is>
          <t>PEÇA/ACESSÓRIO PARA VEÍCULO</t>
        </is>
      </c>
      <c r="D31" s="9" t="n">
        <v>29200</v>
      </c>
      <c r="E31" s="9" t="n">
        <v>13205</v>
      </c>
      <c r="F31" s="9" t="n">
        <v>6008</v>
      </c>
      <c r="G31" s="13" t="inlineStr">
        <is>
          <t>CARO</t>
        </is>
      </c>
    </row>
    <row r="32">
      <c r="A32" t="inlineStr"/>
      <c r="B32" s="7">
        <f>HYPERLINK("#'Guarulhos L33'!A1","Lote 33 ▸")</f>
        <v/>
      </c>
      <c r="C32" s="8" t="inlineStr">
        <is>
          <t>APARELHO/PEÇA MECÂNICA</t>
        </is>
      </c>
      <c r="D32" s="9" t="n">
        <v>1800</v>
      </c>
      <c r="E32" s="9" t="n">
        <v>0</v>
      </c>
      <c r="F32" s="9" t="n">
        <v>0</v>
      </c>
      <c r="G32" s="10" t="inlineStr">
        <is>
          <t>SEM PREÇO</t>
        </is>
      </c>
    </row>
    <row r="33">
      <c r="A33" t="inlineStr"/>
      <c r="B33" s="7">
        <f>HYPERLINK("#'Guarulhos L34'!A1","Lote 34 ▸")</f>
        <v/>
      </c>
      <c r="C33" s="8" t="inlineStr">
        <is>
          <t>COMPONENTE ELETRÔNICO</t>
        </is>
      </c>
      <c r="D33" s="9" t="n">
        <v>3000</v>
      </c>
      <c r="E33" s="9" t="n">
        <v>56250</v>
      </c>
      <c r="F33" s="9" t="n">
        <v>25594</v>
      </c>
      <c r="G33" s="11" t="inlineStr">
        <is>
          <t>ÓTIMO</t>
        </is>
      </c>
    </row>
    <row r="34">
      <c r="A34" t="inlineStr"/>
      <c r="B34" s="7">
        <f>HYPERLINK("#'Guarulhos L35'!A1","Lote 35 ▸")</f>
        <v/>
      </c>
      <c r="C34" s="8" t="inlineStr">
        <is>
          <t>APARELHO/PEÇA MECÂNICA</t>
        </is>
      </c>
      <c r="D34" s="9" t="n">
        <v>8300</v>
      </c>
      <c r="E34" s="9" t="n">
        <v>2052</v>
      </c>
      <c r="F34" s="9" t="n">
        <v>934</v>
      </c>
      <c r="G34" s="13" t="inlineStr">
        <is>
          <t>CARO</t>
        </is>
      </c>
    </row>
    <row r="35">
      <c r="A35" t="inlineStr"/>
      <c r="B35" s="7">
        <f>HYPERLINK("#'Guarulhos L45'!A1","Lote 45 ▸")</f>
        <v/>
      </c>
      <c r="C35" s="8" t="inlineStr">
        <is>
          <t>COMPONENTE ELETRÔNICO</t>
        </is>
      </c>
      <c r="D35" s="9" t="n">
        <v>9100</v>
      </c>
      <c r="E35" s="9" t="n">
        <v>225410</v>
      </c>
      <c r="F35" s="9" t="n">
        <v>102562</v>
      </c>
      <c r="G35" s="11" t="inlineStr">
        <is>
          <t>ÓTIMO</t>
        </is>
      </c>
    </row>
    <row r="36">
      <c r="A36" t="inlineStr"/>
      <c r="B36" s="7">
        <f>HYPERLINK("#'Guarulhos L46'!A1","Lote 46 ▸")</f>
        <v/>
      </c>
      <c r="C36" s="8" t="inlineStr">
        <is>
          <t>ELETRÔNICO/ÁUDIO/VÍDEO</t>
        </is>
      </c>
      <c r="D36" s="9" t="n">
        <v>2400</v>
      </c>
      <c r="E36" s="9" t="n">
        <v>8720</v>
      </c>
      <c r="F36" s="9" t="n">
        <v>3968</v>
      </c>
      <c r="G36" s="11" t="inlineStr">
        <is>
          <t>ÓTIMO</t>
        </is>
      </c>
    </row>
    <row r="37">
      <c r="A37" t="inlineStr"/>
      <c r="B37" s="7">
        <f>HYPERLINK("#'Guarulhos L47'!A1","Lote 47 ▸")</f>
        <v/>
      </c>
      <c r="C37" s="8" t="inlineStr">
        <is>
          <t>INFORMÁTICA</t>
        </is>
      </c>
      <c r="D37" s="9" t="n">
        <v>9800</v>
      </c>
      <c r="E37" s="9" t="n">
        <v>0</v>
      </c>
      <c r="F37" s="9" t="n">
        <v>0</v>
      </c>
      <c r="G37" s="10" t="inlineStr">
        <is>
          <t>SEM PREÇO</t>
        </is>
      </c>
    </row>
    <row r="38">
      <c r="A38" t="inlineStr"/>
      <c r="B38" s="7">
        <f>HYPERLINK("#'Guarulhos L50'!A1","Lote 50 ▸")</f>
        <v/>
      </c>
      <c r="C38" s="8" t="inlineStr">
        <is>
          <t>APARELHO/PEÇA MECÂNICA</t>
        </is>
      </c>
      <c r="D38" s="9" t="n">
        <v>19500</v>
      </c>
      <c r="E38" s="9" t="n">
        <v>0</v>
      </c>
      <c r="F38" s="9" t="n">
        <v>0</v>
      </c>
      <c r="G38" s="10" t="inlineStr">
        <is>
          <t>SEM PREÇO</t>
        </is>
      </c>
    </row>
    <row r="39">
      <c r="A39" t="inlineStr"/>
      <c r="B39" s="7">
        <f>HYPERLINK("#'Guarulhos L51'!A1","Lote 51 ▸")</f>
        <v/>
      </c>
      <c r="C39" s="8" t="inlineStr">
        <is>
          <t>APARELHO/PEÇA MECÂNICA</t>
        </is>
      </c>
      <c r="D39" s="9" t="n">
        <v>15800</v>
      </c>
      <c r="E39" s="9" t="n">
        <v>26800</v>
      </c>
      <c r="F39" s="9" t="n">
        <v>12194</v>
      </c>
      <c r="G39" s="12" t="inlineStr">
        <is>
          <t>APERTADO</t>
        </is>
      </c>
    </row>
    <row r="40">
      <c r="A40" t="inlineStr"/>
      <c r="B40" s="7">
        <f>HYPERLINK("#'Guarulhos L55'!A1","Lote 55 ▸")</f>
        <v/>
      </c>
      <c r="C40" s="8" t="inlineStr">
        <is>
          <t>APARELHO/PEÇA MECÂNICA</t>
        </is>
      </c>
      <c r="D40" s="9" t="n">
        <v>9700</v>
      </c>
      <c r="E40" s="9" t="n">
        <v>0</v>
      </c>
      <c r="F40" s="9" t="n">
        <v>0</v>
      </c>
      <c r="G40" s="10" t="inlineStr">
        <is>
          <t>SEM PREÇO</t>
        </is>
      </c>
    </row>
    <row r="41">
      <c r="A41" t="inlineStr"/>
      <c r="B41" s="7">
        <f>HYPERLINK("#'Guarulhos L58'!A1","Lote 58 ▸")</f>
        <v/>
      </c>
      <c r="C41" s="8" t="inlineStr">
        <is>
          <t>COMPONENTE ELETRÔNICO</t>
        </is>
      </c>
      <c r="D41" s="9" t="n">
        <v>3100</v>
      </c>
      <c r="E41" s="9" t="n">
        <v>0</v>
      </c>
      <c r="F41" s="9" t="n">
        <v>0</v>
      </c>
      <c r="G41" s="10" t="inlineStr">
        <is>
          <t>SEM PREÇO</t>
        </is>
      </c>
    </row>
    <row r="42">
      <c r="A42" t="inlineStr"/>
      <c r="B42" s="7">
        <f>HYPERLINK("#'Guarulhos L59'!A1","Lote 59 ▸")</f>
        <v/>
      </c>
      <c r="C42" s="8" t="inlineStr">
        <is>
          <t>COSMÉTICO</t>
        </is>
      </c>
      <c r="D42" s="9" t="n">
        <v>3800</v>
      </c>
      <c r="E42" s="9" t="n">
        <v>27590</v>
      </c>
      <c r="F42" s="9" t="n">
        <v>12553</v>
      </c>
      <c r="G42" s="11" t="inlineStr">
        <is>
          <t>ÓTIMO</t>
        </is>
      </c>
    </row>
    <row r="43">
      <c r="A43" t="inlineStr"/>
      <c r="B43" s="7">
        <f>HYPERLINK("#'Guarulhos L67'!A1","Lote 67 ▸")</f>
        <v/>
      </c>
      <c r="C43" s="8" t="inlineStr">
        <is>
          <t>DIVERSOS</t>
        </is>
      </c>
      <c r="D43" s="9" t="n">
        <v>10500</v>
      </c>
      <c r="E43" s="9" t="n">
        <v>124586</v>
      </c>
      <c r="F43" s="9" t="n">
        <v>56687</v>
      </c>
      <c r="G43" s="11" t="inlineStr">
        <is>
          <t>ÓTIMO</t>
        </is>
      </c>
    </row>
    <row r="44">
      <c r="A44" s="4" t="inlineStr">
        <is>
          <t>LONDRINA</t>
        </is>
      </c>
      <c r="B44" s="5" t="n"/>
      <c r="C44" s="5" t="n"/>
      <c r="D44" s="5" t="n"/>
      <c r="E44" s="5" t="n"/>
      <c r="F44" s="5" t="n"/>
      <c r="G44" s="6" t="n"/>
    </row>
    <row r="45">
      <c r="A45" t="inlineStr"/>
      <c r="B45" s="7">
        <f>HYPERLINK("#'Londrina L3'!A1","Lote 3 ▸")</f>
        <v/>
      </c>
      <c r="C45" s="8" t="inlineStr">
        <is>
          <t>ELETRÔNICO/ÁUDIO/VÍDEO</t>
        </is>
      </c>
      <c r="D45" s="9" t="n">
        <v>75500</v>
      </c>
      <c r="E45" s="9" t="n">
        <v>159840</v>
      </c>
      <c r="F45" s="9" t="n">
        <v>72727</v>
      </c>
      <c r="G45" s="12" t="inlineStr">
        <is>
          <t>APERTADO</t>
        </is>
      </c>
    </row>
    <row r="46">
      <c r="A46" t="inlineStr"/>
      <c r="B46" s="7">
        <f>HYPERLINK("#'Londrina L4'!A1","Lote 4 ▸")</f>
        <v/>
      </c>
      <c r="C46" s="8" t="inlineStr">
        <is>
          <t>ELETRODOMÉSTICO</t>
        </is>
      </c>
      <c r="D46" s="9" t="n">
        <v>21500</v>
      </c>
      <c r="E46" s="9" t="n">
        <v>94150</v>
      </c>
      <c r="F46" s="9" t="n">
        <v>42838</v>
      </c>
      <c r="G46" s="11" t="inlineStr">
        <is>
          <t>ÓTIMO</t>
        </is>
      </c>
    </row>
    <row r="47">
      <c r="A47" s="4" t="inlineStr">
        <is>
          <t>MOVECTA</t>
        </is>
      </c>
      <c r="B47" s="5" t="n"/>
      <c r="C47" s="5" t="n"/>
      <c r="D47" s="5" t="n"/>
      <c r="E47" s="5" t="n"/>
      <c r="F47" s="5" t="n"/>
      <c r="G47" s="6" t="n"/>
    </row>
    <row r="48">
      <c r="A48" t="inlineStr"/>
      <c r="B48" s="7">
        <f>HYPERLINK("#'Movecta L77'!A1","Lote 77 ▸")</f>
        <v/>
      </c>
      <c r="C48" s="8" t="inlineStr">
        <is>
          <t>APARELHO/PEÇA MECÂNICA</t>
        </is>
      </c>
      <c r="D48" s="9" t="n">
        <v>5500</v>
      </c>
      <c r="E48" s="9" t="n">
        <v>12000</v>
      </c>
      <c r="F48" s="9" t="n">
        <v>5460</v>
      </c>
      <c r="G48" s="12" t="inlineStr">
        <is>
          <t>APERTADO</t>
        </is>
      </c>
    </row>
    <row r="49">
      <c r="A49" s="4" t="inlineStr">
        <is>
          <t>SANTOS BRASIL</t>
        </is>
      </c>
      <c r="B49" s="5" t="n"/>
      <c r="C49" s="5" t="n"/>
      <c r="D49" s="5" t="n"/>
      <c r="E49" s="5" t="n"/>
      <c r="F49" s="5" t="n"/>
      <c r="G49" s="6" t="n"/>
    </row>
    <row r="50">
      <c r="A50" t="inlineStr"/>
      <c r="B50" s="7">
        <f>HYPERLINK("#'Santos L106'!A1","Lote 106 ▸")</f>
        <v/>
      </c>
      <c r="C50" s="8" t="inlineStr">
        <is>
          <t>APARELHO/PEÇA MECÂNICA</t>
        </is>
      </c>
      <c r="D50" s="9" t="n">
        <v>24200</v>
      </c>
      <c r="E50" s="9" t="n">
        <v>60000</v>
      </c>
      <c r="F50" s="9" t="n">
        <v>27300</v>
      </c>
      <c r="G50" s="11" t="inlineStr">
        <is>
          <t>BOM</t>
        </is>
      </c>
    </row>
    <row r="51">
      <c r="A51" t="inlineStr"/>
      <c r="B51" s="7">
        <f>HYPERLINK("#'Santos L108'!A1","Lote 108 ▸")</f>
        <v/>
      </c>
      <c r="C51" s="8" t="inlineStr">
        <is>
          <t>ELETRÔNICO/ÁUDIO/VÍDEO</t>
        </is>
      </c>
      <c r="D51" s="9" t="n">
        <v>2700</v>
      </c>
      <c r="E51" s="9" t="n">
        <v>9109</v>
      </c>
      <c r="F51" s="9" t="n">
        <v>4145</v>
      </c>
      <c r="G51" s="11" t="inlineStr">
        <is>
          <t>ÓTIMO</t>
        </is>
      </c>
    </row>
    <row r="52">
      <c r="A52" t="inlineStr"/>
      <c r="B52" s="7">
        <f>HYPERLINK("#'Santos L114'!A1","Lote 114 ▸")</f>
        <v/>
      </c>
      <c r="C52" s="8" t="inlineStr">
        <is>
          <t>APARELHO/PEÇA MECÂNICA</t>
        </is>
      </c>
      <c r="D52" s="9" t="n">
        <v>50900</v>
      </c>
      <c r="E52" s="9" t="n">
        <v>4750</v>
      </c>
      <c r="F52" s="9" t="n">
        <v>2161</v>
      </c>
      <c r="G52" s="13" t="inlineStr">
        <is>
          <t>CARO</t>
        </is>
      </c>
    </row>
    <row r="53">
      <c r="A53" s="4" t="inlineStr">
        <is>
          <t>VIRACOPOS (VIRA)</t>
        </is>
      </c>
      <c r="B53" s="5" t="n"/>
      <c r="C53" s="5" t="n"/>
      <c r="D53" s="5" t="n"/>
      <c r="E53" s="5" t="n"/>
      <c r="F53" s="5" t="n"/>
      <c r="G53" s="6" t="n"/>
    </row>
    <row r="54">
      <c r="A54" t="inlineStr"/>
      <c r="B54" s="7">
        <f>HYPERLINK("#'Viracopos L8'!A1","Lote 8 ▸")</f>
        <v/>
      </c>
      <c r="C54" s="8" t="inlineStr">
        <is>
          <t>APARELHO/PEÇA MECÂNICA</t>
        </is>
      </c>
      <c r="D54" s="9" t="n">
        <v>30000</v>
      </c>
      <c r="E54" s="9" t="n">
        <v>27750</v>
      </c>
      <c r="F54" s="9" t="n">
        <v>12626</v>
      </c>
      <c r="G54" s="13" t="inlineStr">
        <is>
          <t>CARO</t>
        </is>
      </c>
    </row>
    <row r="55">
      <c r="A55" t="inlineStr"/>
      <c r="B55" s="7">
        <f>HYPERLINK("#'Viracopos L169'!A1","Lote 169 ▸")</f>
        <v/>
      </c>
      <c r="C55" s="8" t="inlineStr">
        <is>
          <t>INSTRUMENTO MUSICAL</t>
        </is>
      </c>
      <c r="D55" s="9" t="n">
        <v>9800</v>
      </c>
      <c r="E55" s="9" t="n">
        <v>26400</v>
      </c>
      <c r="F55" s="9" t="n">
        <v>12012</v>
      </c>
      <c r="G55" s="11" t="inlineStr">
        <is>
          <t>BOM</t>
        </is>
      </c>
    </row>
    <row r="56">
      <c r="A56" t="inlineStr"/>
      <c r="B56" s="7">
        <f>HYPERLINK("#'Viracopos L171'!A1","Lote 171 ▸")</f>
        <v/>
      </c>
      <c r="C56" s="8" t="inlineStr">
        <is>
          <t>PEÇA/ACESSÓRIO PARA VEÍCULO</t>
        </is>
      </c>
      <c r="D56" s="9" t="n">
        <v>78400</v>
      </c>
      <c r="E56" s="9" t="n">
        <v>22840</v>
      </c>
      <c r="F56" s="9" t="n">
        <v>10392</v>
      </c>
      <c r="G56" s="13" t="inlineStr">
        <is>
          <t>CARO</t>
        </is>
      </c>
    </row>
    <row r="57">
      <c r="A57" t="inlineStr"/>
      <c r="B57" s="7">
        <f>HYPERLINK("#'Viracopos L173'!A1","Lote 173 ▸")</f>
        <v/>
      </c>
      <c r="C57" s="8" t="inlineStr">
        <is>
          <t>EMBARCAÇÃO</t>
        </is>
      </c>
      <c r="D57" s="9" t="n">
        <v>8300</v>
      </c>
      <c r="E57" s="9" t="n">
        <v>11500</v>
      </c>
      <c r="F57" s="9" t="n">
        <v>5232</v>
      </c>
      <c r="G57" s="13" t="inlineStr">
        <is>
          <t>CARO</t>
        </is>
      </c>
    </row>
    <row r="58">
      <c r="A58" t="inlineStr"/>
      <c r="B58" s="7">
        <f>HYPERLINK("#'Viracopos L174'!A1","Lote 174 ▸")</f>
        <v/>
      </c>
      <c r="C58" s="8" t="inlineStr">
        <is>
          <t>DIVERSOS</t>
        </is>
      </c>
      <c r="D58" s="9" t="n">
        <v>81000</v>
      </c>
      <c r="E58" s="9" t="n">
        <v>50600</v>
      </c>
      <c r="F58" s="9" t="n">
        <v>23023</v>
      </c>
      <c r="G58" s="13" t="inlineStr">
        <is>
          <t>CARO</t>
        </is>
      </c>
    </row>
    <row r="59">
      <c r="A59" t="inlineStr"/>
      <c r="B59" s="7">
        <f>HYPERLINK("#'Viracopos L176'!A1","Lote 176 ▸")</f>
        <v/>
      </c>
      <c r="C59" s="8" t="inlineStr">
        <is>
          <t>COMPONENTE ELETRÔNICO</t>
        </is>
      </c>
      <c r="D59" s="9" t="n">
        <v>36000</v>
      </c>
      <c r="E59" s="9" t="n">
        <v>80000</v>
      </c>
      <c r="F59" s="9" t="n">
        <v>36400</v>
      </c>
      <c r="G59" s="11" t="inlineStr">
        <is>
          <t>BOM</t>
        </is>
      </c>
    </row>
    <row r="60">
      <c r="A60" t="inlineStr"/>
      <c r="B60" s="7">
        <f>HYPERLINK("#'Viracopos L178'!A1","Lote 178 ▸")</f>
        <v/>
      </c>
      <c r="C60" s="8" t="inlineStr">
        <is>
          <t>COMPONENTE ELETRÔNICO</t>
        </is>
      </c>
      <c r="D60" s="9" t="n">
        <v>15900</v>
      </c>
      <c r="E60" s="9" t="n">
        <v>9500</v>
      </c>
      <c r="F60" s="9" t="n">
        <v>4322</v>
      </c>
      <c r="G60" s="13" t="inlineStr">
        <is>
          <t>CARO</t>
        </is>
      </c>
    </row>
    <row r="61">
      <c r="A61" t="inlineStr"/>
      <c r="B61" s="7">
        <f>HYPERLINK("#'Viracopos L179'!A1","Lote 179 ▸")</f>
        <v/>
      </c>
      <c r="C61" s="8" t="inlineStr">
        <is>
          <t>COMPONENTE ELETRÔNICO</t>
        </is>
      </c>
      <c r="D61" s="9" t="n">
        <v>26300</v>
      </c>
      <c r="E61" s="9" t="n">
        <v>56000</v>
      </c>
      <c r="F61" s="9" t="n">
        <v>25480</v>
      </c>
      <c r="G61" s="12" t="inlineStr">
        <is>
          <t>APERTADO</t>
        </is>
      </c>
    </row>
    <row r="62">
      <c r="A62" t="inlineStr"/>
      <c r="B62" s="7">
        <f>HYPERLINK("#'Viracopos L189'!A1","Lote 189 ▸")</f>
        <v/>
      </c>
      <c r="C62" s="8" t="inlineStr">
        <is>
          <t>APARELHO/PEÇA MECÂNICA</t>
        </is>
      </c>
      <c r="D62" s="9" t="n">
        <v>23500</v>
      </c>
      <c r="E62" s="9" t="n">
        <v>5000</v>
      </c>
      <c r="F62" s="9" t="n">
        <v>2275</v>
      </c>
      <c r="G62" s="13" t="inlineStr">
        <is>
          <t>CARO</t>
        </is>
      </c>
    </row>
    <row r="63">
      <c r="A63" t="inlineStr"/>
      <c r="B63" s="7">
        <f>HYPERLINK("#'Viracopos L196'!A1","Lote 196 ▸")</f>
        <v/>
      </c>
      <c r="C63" s="8" t="inlineStr">
        <is>
          <t>COMPONENTE ELETRÔNICO</t>
        </is>
      </c>
      <c r="D63" s="9" t="n">
        <v>42400</v>
      </c>
      <c r="E63" s="9" t="n">
        <v>76370</v>
      </c>
      <c r="F63" s="9" t="n">
        <v>34748</v>
      </c>
      <c r="G63" s="12" t="inlineStr">
        <is>
          <t>APERTADO</t>
        </is>
      </c>
    </row>
    <row r="64">
      <c r="A64" t="inlineStr"/>
      <c r="B64" s="7">
        <f>HYPERLINK("#'Viracopos L203'!A1","Lote 203 ▸")</f>
        <v/>
      </c>
      <c r="C64" s="8" t="inlineStr">
        <is>
          <t>ELETRÔNICO/ÁUDIO/VÍDEO</t>
        </is>
      </c>
      <c r="D64" s="9" t="n">
        <v>6800</v>
      </c>
      <c r="E64" s="9" t="n">
        <v>12000</v>
      </c>
      <c r="F64" s="9" t="n">
        <v>5460</v>
      </c>
      <c r="G64" s="12" t="inlineStr">
        <is>
          <t>APERTADO</t>
        </is>
      </c>
    </row>
    <row r="65">
      <c r="A65" t="inlineStr"/>
      <c r="B65" s="7">
        <f>HYPERLINK("#'Viracopos L209'!A1","Lote 209 ▸")</f>
        <v/>
      </c>
      <c r="C65" s="8" t="inlineStr">
        <is>
          <t>COMPONENTE ELETRÔNICO</t>
        </is>
      </c>
      <c r="D65" s="9" t="n">
        <v>24900</v>
      </c>
      <c r="E65" s="9" t="n">
        <v>24000</v>
      </c>
      <c r="F65" s="9" t="n">
        <v>10920</v>
      </c>
      <c r="G65" s="13" t="inlineStr">
        <is>
          <t>CARO</t>
        </is>
      </c>
    </row>
    <row r="66">
      <c r="A66" t="inlineStr"/>
      <c r="B66" s="7">
        <f>HYPERLINK("#'Viracopos L210'!A1","Lote 210 ▸")</f>
        <v/>
      </c>
      <c r="C66" s="8" t="inlineStr">
        <is>
          <t>MÉDICO/ODONTO/HOSPITALAR</t>
        </is>
      </c>
      <c r="D66" s="9" t="n">
        <v>2000</v>
      </c>
      <c r="E66" s="9" t="n">
        <v>3200</v>
      </c>
      <c r="F66" s="9" t="n">
        <v>1456</v>
      </c>
      <c r="G66" s="13" t="inlineStr">
        <is>
          <t>CARO</t>
        </is>
      </c>
    </row>
  </sheetData>
  <mergeCells count="12">
    <mergeCell ref="A44:G44"/>
    <mergeCell ref="A1:G1"/>
    <mergeCell ref="A27:G27"/>
    <mergeCell ref="A8:G8"/>
    <mergeCell ref="A53:G53"/>
    <mergeCell ref="A47:G47"/>
    <mergeCell ref="A2:G2"/>
    <mergeCell ref="A15:G15"/>
    <mergeCell ref="A49:G49"/>
    <mergeCell ref="A10:G10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89 — APARELHO/PEÇA MECÂNICA</t>
        </is>
      </c>
      <c r="I1" s="15">
        <f>HYPERLINK("#'Índice'!A1","↩ voltar ao índice")</f>
        <v/>
      </c>
    </row>
    <row r="2">
      <c r="A2" s="2" t="inlineStr">
        <is>
          <t>Deicmar (Santos)  ·  Edital 0800100/000006/2026 · 8ª RF (SP)</t>
        </is>
      </c>
    </row>
    <row r="4">
      <c r="A4" s="16" t="inlineStr">
        <is>
          <t>Preço mínimo (edital)</t>
        </is>
      </c>
      <c r="C4" s="17" t="n">
        <v>1100</v>
      </c>
    </row>
    <row r="5">
      <c r="A5" s="16" t="inlineStr">
        <is>
          <t>Valor de mercado (itens)</t>
        </is>
      </c>
      <c r="C5" s="18" t="n">
        <v>0</v>
      </c>
    </row>
    <row r="6">
      <c r="A6" s="16" t="inlineStr">
        <is>
          <t>LANCE mínimo (conservador)</t>
        </is>
      </c>
      <c r="C6" s="19" t="n">
        <v>0</v>
      </c>
    </row>
    <row r="7">
      <c r="A7" s="16" t="inlineStr">
        <is>
          <t>LANCE ideal</t>
        </is>
      </c>
      <c r="C7" s="19" t="n">
        <v>0</v>
      </c>
    </row>
    <row r="8">
      <c r="A8" s="16" t="inlineStr">
        <is>
          <t>LANCE máximo (agressivo)</t>
        </is>
      </c>
      <c r="C8" s="20" t="n">
        <v>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2" t="n">
        <v>1</v>
      </c>
      <c r="B11" s="22" t="n">
        <v>1</v>
      </c>
      <c r="C11" s="23" t="inlineStr">
        <is>
          <t>MAQ DE SERIGRAFIA ACOMPANHA CHAVE HEXAGONAL DE BOLA METRICA COMPRIMENTO MEDIO/DINGHOKE/CHINA</t>
        </is>
      </c>
      <c r="D11" s="24" t="inlineStr">
        <is>
          <t>—</t>
        </is>
      </c>
      <c r="E11" s="24" t="inlineStr">
        <is>
          <t>—</t>
        </is>
      </c>
      <c r="F11" s="22" t="inlineStr">
        <is>
          <t>s/ preço</t>
        </is>
      </c>
      <c r="G11" s="25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91 — DIVERSOS</t>
        </is>
      </c>
      <c r="I1" s="15">
        <f>HYPERLINK("#'Índice'!A1","↩ voltar ao índice")</f>
        <v/>
      </c>
    </row>
    <row r="2">
      <c r="A2" s="2" t="inlineStr">
        <is>
          <t>Deicmar (Santos)  ·  Edital 0800100/000006/2026 · 8ª RF (SP)</t>
        </is>
      </c>
    </row>
    <row r="4">
      <c r="A4" s="16" t="inlineStr">
        <is>
          <t>Preço mínimo (edital)</t>
        </is>
      </c>
      <c r="C4" s="17" t="n">
        <v>2300</v>
      </c>
    </row>
    <row r="5">
      <c r="A5" s="16" t="inlineStr">
        <is>
          <t>Valor de mercado (itens)</t>
        </is>
      </c>
      <c r="C5" s="18" t="n">
        <v>8507</v>
      </c>
    </row>
    <row r="6">
      <c r="A6" s="16" t="inlineStr">
        <is>
          <t>LANCE mínimo (conservador)</t>
        </is>
      </c>
      <c r="C6" s="19" t="n">
        <v>2977</v>
      </c>
    </row>
    <row r="7">
      <c r="A7" s="16" t="inlineStr">
        <is>
          <t>LANCE ideal</t>
        </is>
      </c>
      <c r="C7" s="19" t="n">
        <v>3871</v>
      </c>
    </row>
    <row r="8">
      <c r="A8" s="16" t="inlineStr">
        <is>
          <t>LANCE máximo (agressivo)</t>
        </is>
      </c>
      <c r="C8" s="20" t="n">
        <v>5062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53</v>
      </c>
      <c r="C11" s="30" t="inlineStr">
        <is>
          <t>PECA EM METAL ALIMENTADOR DE PRODUCAO ELETRONICA - PAIS: CHINA - ESTADO: NOVO</t>
        </is>
      </c>
      <c r="D11" s="31" t="n">
        <v>80</v>
      </c>
      <c r="E11" s="31" t="n">
        <v>4240</v>
      </c>
      <c r="F11" s="29" t="inlineStr">
        <is>
          <t>30%</t>
        </is>
      </c>
      <c r="G11" s="32" t="inlineStr">
        <is>
          <t>ver no ML</t>
        </is>
      </c>
    </row>
    <row r="12">
      <c r="A12" s="33" t="n">
        <v>2</v>
      </c>
      <c r="B12" s="33" t="n">
        <v>5</v>
      </c>
      <c r="C12" s="34" t="inlineStr">
        <is>
          <t>ASSISTENTE VIRTUAL ,C78MP8 ECHO DOT,AMAZON</t>
        </is>
      </c>
      <c r="D12" s="35" t="n">
        <v>170</v>
      </c>
      <c r="E12" s="35" t="n">
        <v>850</v>
      </c>
      <c r="F12" s="33" t="inlineStr">
        <is>
          <t>70%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ASPIRADOR ROBO,ROOMBA 670,ROBOT</t>
        </is>
      </c>
      <c r="D13" s="31" t="n">
        <v>800</v>
      </c>
      <c r="E13" s="31" t="n">
        <v>800</v>
      </c>
      <c r="F13" s="29" t="inlineStr">
        <is>
          <t>65%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ASPIRADOR ROBO,ROOMBA 675,ROBOT</t>
        </is>
      </c>
      <c r="D14" s="35" t="n">
        <v>800</v>
      </c>
      <c r="E14" s="35" t="n">
        <v>800</v>
      </c>
      <c r="F14" s="33" t="inlineStr">
        <is>
          <t>65%</t>
        </is>
      </c>
      <c r="G14" s="32" t="inlineStr">
        <is>
          <t>ver no ML</t>
        </is>
      </c>
    </row>
    <row r="15">
      <c r="A15" s="29" t="n">
        <v>5</v>
      </c>
      <c r="B15" s="29" t="n">
        <v>2</v>
      </c>
      <c r="C15" s="30" t="inlineStr">
        <is>
          <t>ASSISTENTE VIRTUAL,B7W64E ECHO DOT,AMAZON</t>
        </is>
      </c>
      <c r="D15" s="31" t="n">
        <v>200</v>
      </c>
      <c r="E15" s="31" t="n">
        <v>400</v>
      </c>
      <c r="F15" s="29" t="inlineStr">
        <is>
          <t>65%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IMPRESSORA PARA CELULAR FUJIFI FUJIFILM - INSTAX MINI</t>
        </is>
      </c>
      <c r="D16" s="35" t="n">
        <v>320</v>
      </c>
      <c r="E16" s="35" t="n">
        <v>320</v>
      </c>
      <c r="F16" s="33" t="inlineStr">
        <is>
          <t>55%</t>
        </is>
      </c>
      <c r="G16" s="32" t="inlineStr">
        <is>
          <t>ver no ML</t>
        </is>
      </c>
    </row>
    <row r="17">
      <c r="A17" s="29" t="n">
        <v>7</v>
      </c>
      <c r="B17" s="29" t="n">
        <v>3</v>
      </c>
      <c r="C17" s="30" t="inlineStr">
        <is>
          <t>LUPA COM LED E USO EM BANCADA MODELO: ZS-86A - PAIS: CHINA - ESTADO: NOVO</t>
        </is>
      </c>
      <c r="D17" s="31" t="n">
        <v>90</v>
      </c>
      <c r="E17" s="31" t="n">
        <v>270</v>
      </c>
      <c r="F17" s="29" t="inlineStr">
        <is>
          <t>60%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TECLADO COM MOUSE LOGITECH - MK550</t>
        </is>
      </c>
      <c r="D18" s="35" t="n">
        <v>200</v>
      </c>
      <c r="E18" s="35" t="n">
        <v>200</v>
      </c>
      <c r="F18" s="33" t="inlineStr">
        <is>
          <t>65%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COOLER (VENTILADOR CPU) THERMALTAKE MASSIVA 20 RGB</t>
        </is>
      </c>
      <c r="D19" s="31" t="n">
        <v>120</v>
      </c>
      <c r="E19" s="31" t="n">
        <v>120</v>
      </c>
      <c r="F19" s="29" t="inlineStr">
        <is>
          <t>50%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SUPORTE PARA MONITOR HEMUDU - HT 05B - 002</t>
        </is>
      </c>
      <c r="D20" s="35" t="n">
        <v>110</v>
      </c>
      <c r="E20" s="35" t="n">
        <v>110</v>
      </c>
      <c r="F20" s="33" t="inlineStr">
        <is>
          <t>55%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MICROSCOPIO MOD: DIGITAL - MARCA: FEATURES RESOLUCAO IMAGEM 1920*1080P - FOCO: 00 - 40 MM - PAIS: CHINA - ESTADO: NOVO</t>
        </is>
      </c>
      <c r="D21" s="31" t="n">
        <v>110</v>
      </c>
      <c r="E21" s="31" t="n">
        <v>110</v>
      </c>
      <c r="F21" s="29" t="inlineStr">
        <is>
          <t>60%</t>
        </is>
      </c>
      <c r="G21" s="32" t="inlineStr">
        <is>
          <t>ver no ML</t>
        </is>
      </c>
    </row>
    <row r="22">
      <c r="A22" s="33" t="n">
        <v>12</v>
      </c>
      <c r="B22" s="33" t="n">
        <v>2</v>
      </c>
      <c r="C22" s="34" t="inlineStr">
        <is>
          <t>ASSISTENTE VIRTUAL ,H2C - NEST MINI,GOOGLE</t>
        </is>
      </c>
      <c r="D22" s="35" t="n">
        <v>45</v>
      </c>
      <c r="E22" s="35" t="n">
        <v>90</v>
      </c>
      <c r="F22" s="33" t="inlineStr">
        <is>
          <t>65%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MICROFONE SEM FIO PERWHY KIT COM DUAS UNIDADES WM-2</t>
        </is>
      </c>
      <c r="D23" s="31" t="n">
        <v>70</v>
      </c>
      <c r="E23" s="31" t="n">
        <v>70</v>
      </c>
      <c r="F23" s="29" t="inlineStr">
        <is>
          <t>50%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HUB USB C - CABLE VANGREE - VAN-07</t>
        </is>
      </c>
      <c r="D24" s="35" t="n">
        <v>45</v>
      </c>
      <c r="E24" s="35" t="n">
        <v>45</v>
      </c>
      <c r="F24" s="33" t="inlineStr">
        <is>
          <t>55%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TECLADO PARA COMPUTADOR X0042UES67</t>
        </is>
      </c>
      <c r="D25" s="31" t="n">
        <v>25</v>
      </c>
      <c r="E25" s="31" t="n">
        <v>25</v>
      </c>
      <c r="F25" s="29" t="inlineStr">
        <is>
          <t>45%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CABO AUXILIAR TIPO C PARA P2 X0045BPE9X</t>
        </is>
      </c>
      <c r="D26" s="35" t="n">
        <v>15</v>
      </c>
      <c r="E26" s="35" t="n">
        <v>15</v>
      </c>
      <c r="F26" s="33" t="inlineStr">
        <is>
          <t>60%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CAPA DE SILICONE PARA TECLADO LOGITECH - K270</t>
        </is>
      </c>
      <c r="D27" s="31" t="n">
        <v>15</v>
      </c>
      <c r="E27" s="31" t="n">
        <v>15</v>
      </c>
      <c r="F27" s="29" t="inlineStr">
        <is>
          <t>35%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CAPA DE SILICONE PARA CELULAR ELOGA- IPHONE 14 PLUS</t>
        </is>
      </c>
      <c r="D28" s="35" t="n">
        <v>15</v>
      </c>
      <c r="E28" s="35" t="n">
        <v>15</v>
      </c>
      <c r="F28" s="33" t="inlineStr">
        <is>
          <t>35%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PROTETOR DE FONE LINK DREAM - X0020J1351</t>
        </is>
      </c>
      <c r="D29" s="31" t="n">
        <v>12</v>
      </c>
      <c r="E29" s="31" t="n">
        <v>12</v>
      </c>
      <c r="F29" s="29" t="inlineStr">
        <is>
          <t>35%</t>
        </is>
      </c>
      <c r="G29" s="32" t="inlineStr">
        <is>
          <t>ver no ML</t>
        </is>
      </c>
    </row>
    <row r="30">
      <c r="C30" s="26" t="inlineStr">
        <is>
          <t>VALOR DE MERCADO TOTAL</t>
        </is>
      </c>
      <c r="D30" s="27" t="inlineStr"/>
      <c r="E30" s="28">
        <f>SUM(E11:E29)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124 — APARELHO/PEÇA MECÂNICA</t>
        </is>
      </c>
      <c r="I1" s="15">
        <f>HYPERLINK("#'Índice'!A1","↩ voltar ao índice")</f>
        <v/>
      </c>
    </row>
    <row r="2">
      <c r="A2" s="2" t="inlineStr">
        <is>
          <t>Embraport (Santos)  ·  Edital 0800100/000006/2026 · 8ª RF (SP)</t>
        </is>
      </c>
    </row>
    <row r="4">
      <c r="A4" s="16" t="inlineStr">
        <is>
          <t>Preço mínimo (edital)</t>
        </is>
      </c>
      <c r="C4" s="17" t="n">
        <v>141000</v>
      </c>
    </row>
    <row r="5">
      <c r="A5" s="16" t="inlineStr">
        <is>
          <t>Valor de mercado (itens)</t>
        </is>
      </c>
      <c r="C5" s="18" t="n">
        <v>274480</v>
      </c>
    </row>
    <row r="6">
      <c r="A6" s="16" t="inlineStr">
        <is>
          <t>LANCE mínimo (conservador)</t>
        </is>
      </c>
      <c r="C6" s="19" t="n">
        <v>96068</v>
      </c>
    </row>
    <row r="7">
      <c r="A7" s="16" t="inlineStr">
        <is>
          <t>LANCE ideal</t>
        </is>
      </c>
      <c r="C7" s="19" t="n">
        <v>124888</v>
      </c>
    </row>
    <row r="8">
      <c r="A8" s="16" t="inlineStr">
        <is>
          <t>LANCE máximo (agressivo)</t>
        </is>
      </c>
      <c r="C8" s="20" t="n">
        <v>163316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1361</v>
      </c>
      <c r="C11" s="30" t="inlineStr">
        <is>
          <t>JOGO DE SOQUETES C/ 20 PCS. DE 1 / 2 - 8 A 32 MM - ETIQUETA M5-BX-N012</t>
        </is>
      </c>
      <c r="D11" s="31" t="n">
        <v>120</v>
      </c>
      <c r="E11" s="31" t="n">
        <v>163320</v>
      </c>
      <c r="F11" s="29" t="inlineStr">
        <is>
          <t>65%</t>
        </is>
      </c>
      <c r="G11" s="32" t="inlineStr">
        <is>
          <t>ver no ML</t>
        </is>
      </c>
    </row>
    <row r="12">
      <c r="A12" s="33" t="n">
        <v>2</v>
      </c>
      <c r="B12" s="33" t="n">
        <v>2225</v>
      </c>
      <c r="C12" s="34" t="inlineStr">
        <is>
          <t>ABAFADOR DE RUIDO - REF M4-BX-H001-A</t>
        </is>
      </c>
      <c r="D12" s="35" t="n">
        <v>30</v>
      </c>
      <c r="E12" s="35" t="n">
        <v>66750</v>
      </c>
      <c r="F12" s="33" t="inlineStr">
        <is>
          <t>50%</t>
        </is>
      </c>
      <c r="G12" s="32" t="inlineStr">
        <is>
          <t>ver no ML</t>
        </is>
      </c>
    </row>
    <row r="13">
      <c r="A13" s="29" t="n">
        <v>3</v>
      </c>
      <c r="B13" s="29" t="n">
        <v>1000</v>
      </c>
      <c r="C13" s="30" t="inlineStr">
        <is>
          <t>KIT DE FERRAMENTAS</t>
        </is>
      </c>
      <c r="D13" s="31" t="n">
        <v>40</v>
      </c>
      <c r="E13" s="31" t="n">
        <v>40000</v>
      </c>
      <c r="F13" s="29" t="inlineStr">
        <is>
          <t>30%</t>
        </is>
      </c>
      <c r="G13" s="32" t="inlineStr">
        <is>
          <t>ver no ML</t>
        </is>
      </c>
    </row>
    <row r="14">
      <c r="A14" s="33" t="n">
        <v>4</v>
      </c>
      <c r="B14" s="33" t="n">
        <v>49</v>
      </c>
      <c r="C14" s="34" t="inlineStr">
        <is>
          <t>FURADEIRA ELETRICA POWERS</t>
        </is>
      </c>
      <c r="D14" s="35" t="n">
        <v>90</v>
      </c>
      <c r="E14" s="35" t="n">
        <v>4410</v>
      </c>
      <c r="F14" s="33" t="inlineStr">
        <is>
          <t>48%</t>
        </is>
      </c>
      <c r="G14" s="32" t="inlineStr">
        <is>
          <t>ver no ML</t>
        </is>
      </c>
    </row>
    <row r="15">
      <c r="A15" s="22" t="n">
        <v>5</v>
      </c>
      <c r="B15" s="22" t="n">
        <v>591</v>
      </c>
      <c r="C15" s="23" t="inlineStr">
        <is>
          <t>TRENA PROFISSINAL - FITA METRICA FLUORESCENTE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C16" s="26" t="inlineStr">
        <is>
          <t>VALOR DE MERCADO TOTAL</t>
        </is>
      </c>
      <c r="D16" s="27" t="inlineStr"/>
      <c r="E16" s="28">
        <f>SUM(E11:E15)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95 — DIVERSOS</t>
        </is>
      </c>
      <c r="I1" s="15">
        <f>HYPERLINK("#'Índice'!A1","↩ voltar ao índice")</f>
        <v/>
      </c>
    </row>
    <row r="2">
      <c r="A2" s="2" t="inlineStr">
        <is>
          <t>Eudmarco (Santos)  ·  Edital 0800100/000006/2026 · 8ª RF (SP)</t>
        </is>
      </c>
    </row>
    <row r="4">
      <c r="A4" s="16" t="inlineStr">
        <is>
          <t>Preço mínimo (edital)</t>
        </is>
      </c>
      <c r="C4" s="17" t="n">
        <v>31000</v>
      </c>
    </row>
    <row r="5">
      <c r="A5" s="16" t="inlineStr">
        <is>
          <t>Valor de mercado (itens)</t>
        </is>
      </c>
      <c r="C5" s="18" t="n">
        <v>93920</v>
      </c>
    </row>
    <row r="6">
      <c r="A6" s="16" t="inlineStr">
        <is>
          <t>LANCE mínimo (conservador)</t>
        </is>
      </c>
      <c r="C6" s="19" t="n">
        <v>32872</v>
      </c>
    </row>
    <row r="7">
      <c r="A7" s="16" t="inlineStr">
        <is>
          <t>LANCE ideal</t>
        </is>
      </c>
      <c r="C7" s="19" t="n">
        <v>42734</v>
      </c>
    </row>
    <row r="8">
      <c r="A8" s="16" t="inlineStr">
        <is>
          <t>LANCE máximo (agressivo)</t>
        </is>
      </c>
      <c r="C8" s="20" t="n">
        <v>55882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2</v>
      </c>
      <c r="C11" s="30" t="inlineStr">
        <is>
          <t>ESTACAO DE BATERIA PORTATIL, MOD. EFD500, MARCA ECOFLOW (USADO)</t>
        </is>
      </c>
      <c r="D11" s="31" t="n">
        <v>13000</v>
      </c>
      <c r="E11" s="31" t="n">
        <v>26000</v>
      </c>
      <c r="F11" s="29" t="inlineStr">
        <is>
          <t>60%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AMPLIFICADOR DE GUITARRA, MOD. 65 TWIN REVERB - AMP, MARCA FENDER (USADO)</t>
        </is>
      </c>
      <c r="D12" s="35" t="n">
        <v>16000</v>
      </c>
      <c r="E12" s="35" t="n">
        <v>16000</v>
      </c>
      <c r="F12" s="33" t="inlineStr">
        <is>
          <t>60%</t>
        </is>
      </c>
      <c r="G12" s="32" t="inlineStr">
        <is>
          <t>ver no ML</t>
        </is>
      </c>
    </row>
    <row r="13">
      <c r="A13" s="29" t="n">
        <v>3</v>
      </c>
      <c r="B13" s="29" t="n">
        <v>2</v>
      </c>
      <c r="C13" s="30" t="inlineStr">
        <is>
          <t>MACBOOK, MOD. A1990, MARCA APPLE (USADO)</t>
        </is>
      </c>
      <c r="D13" s="31" t="n">
        <v>7000</v>
      </c>
      <c r="E13" s="31" t="n">
        <v>14000</v>
      </c>
      <c r="F13" s="29" t="inlineStr">
        <is>
          <t>63%</t>
        </is>
      </c>
      <c r="G13" s="32" t="inlineStr">
        <is>
          <t>ver no ML</t>
        </is>
      </c>
    </row>
    <row r="14">
      <c r="A14" s="33" t="n">
        <v>4</v>
      </c>
      <c r="B14" s="33" t="n">
        <v>6</v>
      </c>
      <c r="C14" s="34" t="inlineStr">
        <is>
          <t>PLACA DE ENTRADA ANALOGICA PARA STAGE RACK - SRI, MARCA DIGIDESIGN (USADO) ACESSORIO PARA EQUIPAMENTO DE SOM PROFISSION</t>
        </is>
      </c>
      <c r="D14" s="35" t="n">
        <v>1500</v>
      </c>
      <c r="E14" s="35" t="n">
        <v>9000</v>
      </c>
      <c r="F14" s="33" t="inlineStr">
        <is>
          <t>50%</t>
        </is>
      </c>
      <c r="G14" s="32" t="inlineStr">
        <is>
          <t>ver no ML</t>
        </is>
      </c>
    </row>
    <row r="15">
      <c r="A15" s="29" t="n">
        <v>5</v>
      </c>
      <c r="B15" s="29" t="n">
        <v>4</v>
      </c>
      <c r="C15" s="30" t="inlineStr">
        <is>
          <t>FONTE DE ALIMENTACAO, MOD. PW800W, MARCA YAMAHA (USADO)</t>
        </is>
      </c>
      <c r="D15" s="31" t="n">
        <v>1700</v>
      </c>
      <c r="E15" s="31" t="n">
        <v>6800</v>
      </c>
      <c r="F15" s="29" t="inlineStr">
        <is>
          <t>65%</t>
        </is>
      </c>
      <c r="G15" s="32" t="inlineStr">
        <is>
          <t>ver no ML</t>
        </is>
      </c>
    </row>
    <row r="16">
      <c r="A16" s="33" t="n">
        <v>6</v>
      </c>
      <c r="B16" s="33" t="n">
        <v>2</v>
      </c>
      <c r="C16" s="34" t="inlineStr">
        <is>
          <t>MAC BOOK AIR 13, MOD. A2337 (8G/ 256GB), MARCA APPLE (USADO)</t>
        </is>
      </c>
      <c r="D16" s="35" t="n">
        <v>3000</v>
      </c>
      <c r="E16" s="35" t="n">
        <v>6000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ESTACAO DE BATERIA PORTATIL, MOD. EFD500EB, MARCA ECOFLOW (USADO)</t>
        </is>
      </c>
      <c r="D17" s="31" t="n">
        <v>4300</v>
      </c>
      <c r="E17" s="31" t="n">
        <v>4300</v>
      </c>
      <c r="F17" s="29" t="inlineStr">
        <is>
          <t>58%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RACK DE PALCO (MIXER), MOD. 9100-31286-01 REV.Z, MARCA DIGIDESIGN (USADO) EQUIPAMENTO DE SOM PROFISSIONAL PARA USO EM P</t>
        </is>
      </c>
      <c r="D18" s="35" t="n">
        <v>4000</v>
      </c>
      <c r="E18" s="35" t="n">
        <v>4000</v>
      </c>
      <c r="F18" s="33" t="inlineStr">
        <is>
          <t>50%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ESTACAO DE BATERIA PORTATIL, MOD. EFG200, MARCA ECOFLOW (USADO)</t>
        </is>
      </c>
      <c r="D19" s="31" t="n">
        <v>2800</v>
      </c>
      <c r="E19" s="31" t="n">
        <v>2800</v>
      </c>
      <c r="F19" s="29" t="inlineStr">
        <is>
          <t>52%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CONDICIONADOR DE ENERGIA, MOD. PL-8C, MARCA FURMAN (USADO)</t>
        </is>
      </c>
      <c r="D20" s="35" t="n">
        <v>1500</v>
      </c>
      <c r="E20" s="35" t="n">
        <v>1500</v>
      </c>
      <c r="F20" s="33" t="inlineStr">
        <is>
          <t>60%</t>
        </is>
      </c>
      <c r="G20" s="32" t="inlineStr">
        <is>
          <t>ver no ML</t>
        </is>
      </c>
    </row>
    <row r="21">
      <c r="A21" s="29" t="n">
        <v>11</v>
      </c>
      <c r="B21" s="29" t="n">
        <v>47</v>
      </c>
      <c r="C21" s="30" t="inlineStr">
        <is>
          <t>PLACA FONTE DE ALIMENTACAO PARA IMPRESSORA, DE 06 A 20 CM DE COMPRIMENTO, DIVERSAS REFERENCIAS, S/ MARCA (USADO) PLACA</t>
        </is>
      </c>
      <c r="D21" s="31" t="n">
        <v>25</v>
      </c>
      <c r="E21" s="31" t="n">
        <v>1175</v>
      </c>
      <c r="F21" s="29" t="inlineStr">
        <is>
          <t>45%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CONTROLADOR PERSONAL Q RACK PARA AUDIO, MARCA DIGIDESIGN (USADO)</t>
        </is>
      </c>
      <c r="D22" s="35" t="n">
        <v>700</v>
      </c>
      <c r="E22" s="35" t="n">
        <v>700</v>
      </c>
      <c r="F22" s="33" t="inlineStr">
        <is>
          <t>45%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MINI PC, MOD. WI-6 16GB RAM 512 GB, MARCA TRYCOO</t>
        </is>
      </c>
      <c r="D23" s="31" t="n">
        <v>700</v>
      </c>
      <c r="E23" s="31" t="n">
        <v>700</v>
      </c>
      <c r="F23" s="29" t="inlineStr">
        <is>
          <t>55%</t>
        </is>
      </c>
      <c r="G23" s="32" t="inlineStr">
        <is>
          <t>ver no ML</t>
        </is>
      </c>
    </row>
    <row r="24">
      <c r="A24" s="33" t="n">
        <v>14</v>
      </c>
      <c r="B24" s="33" t="n">
        <v>17</v>
      </c>
      <c r="C24" s="34" t="inlineStr">
        <is>
          <t>PLACA FONTE DE ALIMENTACAO PARA IMPRESSORA, DE 20 A 30 CM DE COMPRIMENTO, DIVERSAS REFERENCIAS, S/ MARCA (USADO) PLACA</t>
        </is>
      </c>
      <c r="D24" s="35" t="n">
        <v>25</v>
      </c>
      <c r="E24" s="35" t="n">
        <v>425</v>
      </c>
      <c r="F24" s="33" t="inlineStr">
        <is>
          <t>35%</t>
        </is>
      </c>
      <c r="G24" s="32" t="inlineStr">
        <is>
          <t>ver no ML</t>
        </is>
      </c>
    </row>
    <row r="25">
      <c r="A25" s="29" t="n">
        <v>15</v>
      </c>
      <c r="B25" s="29" t="n">
        <v>2</v>
      </c>
      <c r="C25" s="30" t="inlineStr">
        <is>
          <t>FONTE DE ALIMENTACAO, MOD. DGN-Z26H, MARCA SKYNET ELETRONIC (USADO)</t>
        </is>
      </c>
      <c r="D25" s="31" t="n">
        <v>80</v>
      </c>
      <c r="E25" s="31" t="n">
        <v>160</v>
      </c>
      <c r="F25" s="29" t="inlineStr">
        <is>
          <t>35%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JABBERIN JACK - ALTO-FALANTE FORMATO DE ABOBORA COM CABO USB, MARCA MINDSCOPE</t>
        </is>
      </c>
      <c r="D26" s="35" t="n">
        <v>130</v>
      </c>
      <c r="E26" s="35" t="n">
        <v>130</v>
      </c>
      <c r="F26" s="33" t="inlineStr">
        <is>
          <t>55%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ASSISTENTE VIRTUAL, MOD. C2N6L4, MARCA ECHO DOT</t>
        </is>
      </c>
      <c r="D27" s="31" t="n">
        <v>90</v>
      </c>
      <c r="E27" s="31" t="n">
        <v>90</v>
      </c>
      <c r="F27" s="29" t="inlineStr">
        <is>
          <t>55%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PROJETOR VIRTUAL HALLOWEEN, MOD. 62019, MARCA HUNTINGTON HOME</t>
        </is>
      </c>
      <c r="D28" s="35" t="n">
        <v>90</v>
      </c>
      <c r="E28" s="35" t="n">
        <v>90</v>
      </c>
      <c r="F28" s="33" t="inlineStr">
        <is>
          <t>55%</t>
        </is>
      </c>
      <c r="G28" s="32" t="inlineStr">
        <is>
          <t>ver no ML</t>
        </is>
      </c>
    </row>
    <row r="29">
      <c r="A29" s="29" t="n">
        <v>19</v>
      </c>
      <c r="B29" s="29" t="n">
        <v>2</v>
      </c>
      <c r="C29" s="30" t="inlineStr">
        <is>
          <t>TERMINAL DE CRIMPAGEM (PACOTE DE 20 UN) 0,100 E 0,156 POLEGADAS, MARCA MARCO</t>
        </is>
      </c>
      <c r="D29" s="31" t="n">
        <v>25</v>
      </c>
      <c r="E29" s="31" t="n">
        <v>50</v>
      </c>
      <c r="F29" s="29" t="inlineStr">
        <is>
          <t>35%</t>
        </is>
      </c>
      <c r="G29" s="32" t="inlineStr">
        <is>
          <t>ver no ML</t>
        </is>
      </c>
    </row>
    <row r="30">
      <c r="A30" s="22" t="n">
        <v>20</v>
      </c>
      <c r="B30" s="22" t="n">
        <v>28</v>
      </c>
      <c r="C30" s="23" t="inlineStr">
        <is>
          <t>COMPONENTES DE IMPRESSORA, DIVERSOS TIPOS, SEM MARCA (USADO)</t>
        </is>
      </c>
      <c r="D30" s="24" t="inlineStr">
        <is>
          <t>—</t>
        </is>
      </c>
      <c r="E30" s="24" t="inlineStr">
        <is>
          <t>—</t>
        </is>
      </c>
      <c r="F30" s="22" t="inlineStr">
        <is>
          <t>s/ preço</t>
        </is>
      </c>
      <c r="G30" s="25" t="inlineStr">
        <is>
          <t>ver no ML</t>
        </is>
      </c>
    </row>
    <row r="31">
      <c r="A31" s="22" t="n">
        <v>21</v>
      </c>
      <c r="B31" s="22" t="n">
        <v>37</v>
      </c>
      <c r="C31" s="23" t="inlineStr">
        <is>
          <t>CABOS, DIVERSOS (USADO)</t>
        </is>
      </c>
      <c r="D31" s="24" t="inlineStr">
        <is>
          <t>—</t>
        </is>
      </c>
      <c r="E31" s="24" t="inlineStr">
        <is>
          <t>—</t>
        </is>
      </c>
      <c r="F31" s="22" t="inlineStr">
        <is>
          <t>s/ preço</t>
        </is>
      </c>
      <c r="G31" s="25" t="inlineStr">
        <is>
          <t>ver no ML</t>
        </is>
      </c>
    </row>
    <row r="32">
      <c r="A32" s="22" t="n">
        <v>22</v>
      </c>
      <c r="B32" s="22" t="n">
        <v>13</v>
      </c>
      <c r="C32" s="23" t="inlineStr">
        <is>
          <t>SEMICONDUTOR, MODELOS DIVERSOS, MARCAS ALLEGRO MICROSYSTEMS, TOSHIBA, TI, ONSEMI, DIODES INC., ANALOG DEVICES</t>
        </is>
      </c>
      <c r="D32" s="24" t="inlineStr">
        <is>
          <t>—</t>
        </is>
      </c>
      <c r="E32" s="24" t="inlineStr">
        <is>
          <t>—</t>
        </is>
      </c>
      <c r="F32" s="22" t="inlineStr">
        <is>
          <t>s/ preço</t>
        </is>
      </c>
      <c r="G32" s="25" t="inlineStr">
        <is>
          <t>ver no ML</t>
        </is>
      </c>
    </row>
    <row r="33">
      <c r="C33" s="26" t="inlineStr">
        <is>
          <t>VALOR DE MERCADO TOTAL</t>
        </is>
      </c>
      <c r="D33" s="27" t="inlineStr"/>
      <c r="E33" s="28">
        <f>SUM(E11:E32)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97 — ARTIGO ESPORTIVO</t>
        </is>
      </c>
      <c r="I1" s="15">
        <f>HYPERLINK("#'Índice'!A1","↩ voltar ao índice")</f>
        <v/>
      </c>
    </row>
    <row r="2">
      <c r="A2" s="2" t="inlineStr">
        <is>
          <t>Eudmarco (Santos)  ·  Edital 0800100/000006/2026 · 8ª RF (SP)</t>
        </is>
      </c>
    </row>
    <row r="4">
      <c r="A4" s="16" t="inlineStr">
        <is>
          <t>Preço mínimo (edital)</t>
        </is>
      </c>
      <c r="C4" s="17" t="n">
        <v>16200</v>
      </c>
    </row>
    <row r="5">
      <c r="A5" s="16" t="inlineStr">
        <is>
          <t>Valor de mercado (itens)</t>
        </is>
      </c>
      <c r="C5" s="18" t="n">
        <v>67880</v>
      </c>
    </row>
    <row r="6">
      <c r="A6" s="16" t="inlineStr">
        <is>
          <t>LANCE mínimo (conservador)</t>
        </is>
      </c>
      <c r="C6" s="19" t="n">
        <v>23758</v>
      </c>
    </row>
    <row r="7">
      <c r="A7" s="16" t="inlineStr">
        <is>
          <t>LANCE ideal</t>
        </is>
      </c>
      <c r="C7" s="19" t="n">
        <v>30885</v>
      </c>
    </row>
    <row r="8">
      <c r="A8" s="16" t="inlineStr">
        <is>
          <t>LANCE máximo (agressivo)</t>
        </is>
      </c>
      <c r="C8" s="20" t="n">
        <v>40389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2</v>
      </c>
      <c r="C11" s="30" t="inlineStr">
        <is>
          <t>PRANCHA MOTORIZADA, MOD.SURFERBOARD, MARCA YUJET</t>
        </is>
      </c>
      <c r="D11" s="31" t="n">
        <v>28000</v>
      </c>
      <c r="E11" s="31" t="n">
        <v>56000</v>
      </c>
      <c r="F11" s="29" t="inlineStr">
        <is>
          <t>55%</t>
        </is>
      </c>
      <c r="G11" s="32" t="inlineStr">
        <is>
          <t>ver no ML</t>
        </is>
      </c>
    </row>
    <row r="12">
      <c r="A12" s="33" t="n">
        <v>2</v>
      </c>
      <c r="B12" s="33" t="n">
        <v>24</v>
      </c>
      <c r="C12" s="34" t="inlineStr">
        <is>
          <t>LUVA DE BOXE, MARCAS TWINS E TOPKING</t>
        </is>
      </c>
      <c r="D12" s="35" t="n">
        <v>150</v>
      </c>
      <c r="E12" s="35" t="n">
        <v>3600</v>
      </c>
      <c r="F12" s="33" t="inlineStr">
        <is>
          <t>65%</t>
        </is>
      </c>
      <c r="G12" s="32" t="inlineStr">
        <is>
          <t>ver no ML</t>
        </is>
      </c>
    </row>
    <row r="13">
      <c r="A13" s="29" t="n">
        <v>3</v>
      </c>
      <c r="B13" s="29" t="n">
        <v>34</v>
      </c>
      <c r="C13" s="30" t="inlineStr">
        <is>
          <t>SHORT DE MUAY THAI, MARCAS TWINS, TOPKING, FAIRTEX</t>
        </is>
      </c>
      <c r="D13" s="31" t="n">
        <v>90</v>
      </c>
      <c r="E13" s="31" t="n">
        <v>3060</v>
      </c>
      <c r="F13" s="29" t="inlineStr">
        <is>
          <t>60%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BICICLETA, MODELO MONO II, MARCA TOKYOBIKE</t>
        </is>
      </c>
      <c r="D14" s="35" t="n">
        <v>2500</v>
      </c>
      <c r="E14" s="35" t="n">
        <v>2500</v>
      </c>
      <c r="F14" s="33" t="inlineStr">
        <is>
          <t>60%</t>
        </is>
      </c>
      <c r="G14" s="32" t="inlineStr">
        <is>
          <t>ver no ML</t>
        </is>
      </c>
    </row>
    <row r="15">
      <c r="A15" s="29" t="n">
        <v>5</v>
      </c>
      <c r="B15" s="29" t="n">
        <v>11</v>
      </c>
      <c r="C15" s="30" t="inlineStr">
        <is>
          <t>CANELEIRA PARA MUAY THAI, MARCAS TOPKINGS E TWINS</t>
        </is>
      </c>
      <c r="D15" s="31" t="n">
        <v>160</v>
      </c>
      <c r="E15" s="31" t="n">
        <v>1760</v>
      </c>
      <c r="F15" s="29" t="inlineStr">
        <is>
          <t>65%</t>
        </is>
      </c>
      <c r="G15" s="32" t="inlineStr">
        <is>
          <t>ver no ML</t>
        </is>
      </c>
    </row>
    <row r="16">
      <c r="A16" s="33" t="n">
        <v>6</v>
      </c>
      <c r="B16" s="33" t="n">
        <v>4</v>
      </c>
      <c r="C16" s="34" t="inlineStr">
        <is>
          <t>APARADOR DE CHUTE, MARCAS TOPKING, INFIGHT STYLE, TWINS, KRATHING</t>
        </is>
      </c>
      <c r="D16" s="35" t="n">
        <v>90</v>
      </c>
      <c r="E16" s="35" t="n">
        <v>360</v>
      </c>
      <c r="F16" s="33" t="inlineStr">
        <is>
          <t>50%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BICICLETA, MODELO FM/FO-NSO1/SPVT01, SEM MARCA</t>
        </is>
      </c>
      <c r="D17" s="31" t="n">
        <v>300</v>
      </c>
      <c r="E17" s="31" t="n">
        <v>300</v>
      </c>
      <c r="F17" s="29" t="inlineStr">
        <is>
          <t>45%</t>
        </is>
      </c>
      <c r="G17" s="32" t="inlineStr">
        <is>
          <t>ver no ML</t>
        </is>
      </c>
    </row>
    <row r="18">
      <c r="A18" s="33" t="n">
        <v>8</v>
      </c>
      <c r="B18" s="33" t="n">
        <v>2</v>
      </c>
      <c r="C18" s="34" t="inlineStr">
        <is>
          <t>CINTO PROTETOR ABDOMINAL, MARCAS KING PRO BOXING E FAIRTEX</t>
        </is>
      </c>
      <c r="D18" s="35" t="n">
        <v>150</v>
      </c>
      <c r="E18" s="35" t="n">
        <v>300</v>
      </c>
      <c r="F18" s="33" t="inlineStr">
        <is>
          <t>45%</t>
        </is>
      </c>
      <c r="G18" s="32" t="inlineStr">
        <is>
          <t>ver no ML</t>
        </is>
      </c>
    </row>
    <row r="19">
      <c r="C19" s="26" t="inlineStr">
        <is>
          <t>VALOR DE MERCADO TOTAL</t>
        </is>
      </c>
      <c r="D19" s="27" t="inlineStr"/>
      <c r="E19" s="28">
        <f>SUM(E11:E18)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98 — COMPONENTE ELETRÔNICO</t>
        </is>
      </c>
      <c r="I1" s="15">
        <f>HYPERLINK("#'Índice'!A1","↩ voltar ao índice")</f>
        <v/>
      </c>
    </row>
    <row r="2">
      <c r="A2" s="2" t="inlineStr">
        <is>
          <t>Eudmarco (Santos)  ·  Edital 0800100/000006/2026 · 8ª RF (SP)</t>
        </is>
      </c>
    </row>
    <row r="4">
      <c r="A4" s="16" t="inlineStr">
        <is>
          <t>Preço mínimo (edital)</t>
        </is>
      </c>
      <c r="C4" s="17" t="n">
        <v>25400</v>
      </c>
    </row>
    <row r="5">
      <c r="A5" s="16" t="inlineStr">
        <is>
          <t>Valor de mercado (itens)</t>
        </is>
      </c>
      <c r="C5" s="18" t="n">
        <v>138000</v>
      </c>
    </row>
    <row r="6">
      <c r="A6" s="16" t="inlineStr">
        <is>
          <t>LANCE mínimo (conservador)</t>
        </is>
      </c>
      <c r="C6" s="19" t="n">
        <v>48300</v>
      </c>
    </row>
    <row r="7">
      <c r="A7" s="16" t="inlineStr">
        <is>
          <t>LANCE ideal</t>
        </is>
      </c>
      <c r="C7" s="19" t="n">
        <v>62790</v>
      </c>
    </row>
    <row r="8">
      <c r="A8" s="16" t="inlineStr">
        <is>
          <t>LANCE máximo (agressivo)</t>
        </is>
      </c>
      <c r="C8" s="20" t="n">
        <v>82110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PLATAFORMA DE AUTOMATIZACAO DE OPERACOES PARA DRONE, MOD. DJI DOCK 2, MARCA DJI</t>
        </is>
      </c>
      <c r="D11" s="31" t="n">
        <v>80000</v>
      </c>
      <c r="E11" s="31" t="n">
        <v>80000</v>
      </c>
      <c r="F11" s="29" t="inlineStr">
        <is>
          <t>70%</t>
        </is>
      </c>
      <c r="G11" s="32" t="inlineStr">
        <is>
          <t>ver no ML</t>
        </is>
      </c>
    </row>
    <row r="12">
      <c r="A12" s="33" t="n">
        <v>2</v>
      </c>
      <c r="B12" s="33" t="n">
        <v>8</v>
      </c>
      <c r="C12" s="34" t="inlineStr">
        <is>
          <t>BATERIA DE DRONE MOD.TB65, MARCA DJI</t>
        </is>
      </c>
      <c r="D12" s="35" t="n">
        <v>5000</v>
      </c>
      <c r="E12" s="35" t="n">
        <v>40000</v>
      </c>
      <c r="F12" s="33" t="inlineStr">
        <is>
          <t>70%</t>
        </is>
      </c>
      <c r="G12" s="32" t="inlineStr">
        <is>
          <t>ver no ML</t>
        </is>
      </c>
    </row>
    <row r="13">
      <c r="A13" s="29" t="n">
        <v>3</v>
      </c>
      <c r="B13" s="29" t="n">
        <v>24</v>
      </c>
      <c r="C13" s="30" t="inlineStr">
        <is>
          <t>BATERIA DE DRONE MOD. MAVIC 3, MARCA DJI</t>
        </is>
      </c>
      <c r="D13" s="31" t="n">
        <v>750</v>
      </c>
      <c r="E13" s="31" t="n">
        <v>18000</v>
      </c>
      <c r="F13" s="29" t="inlineStr">
        <is>
          <t>60%</t>
        </is>
      </c>
      <c r="G13" s="32" t="inlineStr">
        <is>
          <t>ver no ML</t>
        </is>
      </c>
    </row>
    <row r="14">
      <c r="C14" s="26" t="inlineStr">
        <is>
          <t>VALOR DE MERCADO TOTAL</t>
        </is>
      </c>
      <c r="D14" s="27" t="inlineStr"/>
      <c r="E14" s="28">
        <f>SUM(E11:E13)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102 — APARELHO/PEÇA MECÂNICA</t>
        </is>
      </c>
      <c r="I1" s="15">
        <f>HYPERLINK("#'Índice'!A1","↩ voltar ao índice")</f>
        <v/>
      </c>
    </row>
    <row r="2">
      <c r="A2" s="2" t="inlineStr">
        <is>
          <t>Eudmarco (Santos)  ·  Edital 0800100/000006/2026 · 8ª RF (SP)</t>
        </is>
      </c>
    </row>
    <row r="4">
      <c r="A4" s="16" t="inlineStr">
        <is>
          <t>Preço mínimo (edital)</t>
        </is>
      </c>
      <c r="C4" s="17" t="n">
        <v>3300</v>
      </c>
    </row>
    <row r="5">
      <c r="A5" s="16" t="inlineStr">
        <is>
          <t>Valor de mercado (itens)</t>
        </is>
      </c>
      <c r="C5" s="18" t="n">
        <v>14300</v>
      </c>
    </row>
    <row r="6">
      <c r="A6" s="16" t="inlineStr">
        <is>
          <t>LANCE mínimo (conservador)</t>
        </is>
      </c>
      <c r="C6" s="19" t="n">
        <v>5005</v>
      </c>
    </row>
    <row r="7">
      <c r="A7" s="16" t="inlineStr">
        <is>
          <t>LANCE ideal</t>
        </is>
      </c>
      <c r="C7" s="19" t="n">
        <v>6506</v>
      </c>
    </row>
    <row r="8">
      <c r="A8" s="16" t="inlineStr">
        <is>
          <t>LANCE máximo (agressivo)</t>
        </is>
      </c>
      <c r="C8" s="20" t="n">
        <v>8508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5</v>
      </c>
      <c r="C11" s="30" t="inlineStr">
        <is>
          <t>MODULO DE LASER PULSADO, MOD. ZM18RF425, MARCA Z-LASER (LASER PARA USO INDUSTRIAL)</t>
        </is>
      </c>
      <c r="D11" s="31" t="n">
        <v>2500</v>
      </c>
      <c r="E11" s="31" t="n">
        <v>12500</v>
      </c>
      <c r="F11" s="29" t="inlineStr">
        <is>
          <t>30%</t>
        </is>
      </c>
      <c r="G11" s="32" t="inlineStr">
        <is>
          <t>ver no ML</t>
        </is>
      </c>
    </row>
    <row r="12">
      <c r="A12" s="33" t="n">
        <v>2</v>
      </c>
      <c r="B12" s="33" t="n">
        <v>6</v>
      </c>
      <c r="C12" s="34" t="inlineStr">
        <is>
          <t>COBERTURA DE SOM PARA COMPRESSOR, MARCA DOMETIC (01 UNIDADE USADA)</t>
        </is>
      </c>
      <c r="D12" s="35" t="n">
        <v>300</v>
      </c>
      <c r="E12" s="35" t="n">
        <v>1800</v>
      </c>
      <c r="F12" s="33" t="inlineStr">
        <is>
          <t>38%</t>
        </is>
      </c>
      <c r="G12" s="32" t="inlineStr">
        <is>
          <t>ver no ML</t>
        </is>
      </c>
    </row>
    <row r="13">
      <c r="C13" s="26" t="inlineStr">
        <is>
          <t>VALOR DE MERCADO TOTAL</t>
        </is>
      </c>
      <c r="D13" s="27" t="inlineStr"/>
      <c r="E13" s="28">
        <f>SUM(E11:E12)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116 — RELÓGIO/PARTE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67990</v>
      </c>
    </row>
    <row r="5">
      <c r="A5" s="16" t="inlineStr">
        <is>
          <t>Valor de mercado (itens)</t>
        </is>
      </c>
      <c r="C5" s="18" t="n">
        <v>126520</v>
      </c>
    </row>
    <row r="6">
      <c r="A6" s="16" t="inlineStr">
        <is>
          <t>LANCE mínimo (conservador)</t>
        </is>
      </c>
      <c r="C6" s="19" t="n">
        <v>44282</v>
      </c>
    </row>
    <row r="7">
      <c r="A7" s="16" t="inlineStr">
        <is>
          <t>LANCE ideal</t>
        </is>
      </c>
      <c r="C7" s="19" t="n">
        <v>57567</v>
      </c>
    </row>
    <row r="8">
      <c r="A8" s="16" t="inlineStr">
        <is>
          <t>LANCE máximo (agressivo)</t>
        </is>
      </c>
      <c r="C8" s="20" t="n">
        <v>75279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6</v>
      </c>
      <c r="C11" s="30" t="inlineStr">
        <is>
          <t>GPS IGPSPORT IGS630 SENSOR DE CADENCIA</t>
        </is>
      </c>
      <c r="D11" s="31" t="n">
        <v>1550</v>
      </c>
      <c r="E11" s="31" t="n">
        <v>9300</v>
      </c>
      <c r="F11" s="29" t="inlineStr">
        <is>
          <t>70%</t>
        </is>
      </c>
      <c r="G11" s="32" t="inlineStr">
        <is>
          <t>ver no ML</t>
        </is>
      </c>
    </row>
    <row r="12">
      <c r="A12" s="33" t="n">
        <v>2</v>
      </c>
      <c r="B12" s="33" t="n">
        <v>8</v>
      </c>
      <c r="C12" s="34" t="inlineStr">
        <is>
          <t>GPS IGPSPORT BSC300 SENSOR DE CADENCIA</t>
        </is>
      </c>
      <c r="D12" s="35" t="n">
        <v>650</v>
      </c>
      <c r="E12" s="35" t="n">
        <v>5200</v>
      </c>
      <c r="F12" s="33" t="inlineStr">
        <is>
          <t>70%</t>
        </is>
      </c>
      <c r="G12" s="32" t="inlineStr">
        <is>
          <t>ver no ML</t>
        </is>
      </c>
    </row>
    <row r="13">
      <c r="A13" s="29" t="n">
        <v>3</v>
      </c>
      <c r="B13" s="29" t="n">
        <v>4</v>
      </c>
      <c r="C13" s="30" t="inlineStr">
        <is>
          <t>ANTENA MIMOSA C5C</t>
        </is>
      </c>
      <c r="D13" s="31" t="n">
        <v>800</v>
      </c>
      <c r="E13" s="31" t="n">
        <v>3200</v>
      </c>
      <c r="F13" s="29" t="inlineStr">
        <is>
          <t>60%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GPS GARMIN EDGE 840 SENSOR BUNDLE ID:AAMF27372 - S/N:7VU001993</t>
        </is>
      </c>
      <c r="D14" s="35" t="n">
        <v>3000</v>
      </c>
      <c r="E14" s="35" t="n">
        <v>3000</v>
      </c>
      <c r="F14" s="33" t="inlineStr">
        <is>
          <t>70%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GPS GARMIN EDGE 540 SENSOR BUNDLE ID:QSJV22379 - S/N:7TH006394</t>
        </is>
      </c>
      <c r="D15" s="31" t="n">
        <v>2700</v>
      </c>
      <c r="E15" s="31" t="n">
        <v>2700</v>
      </c>
      <c r="F15" s="29" t="inlineStr">
        <is>
          <t>75%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GPS GARMIN EDGE 540 SENSOR BUNDLE ID:QSJV22379 - S/N:7TH006283</t>
        </is>
      </c>
      <c r="D16" s="35" t="n">
        <v>2700</v>
      </c>
      <c r="E16" s="35" t="n">
        <v>2700</v>
      </c>
      <c r="F16" s="33" t="inlineStr">
        <is>
          <t>75%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GPS GARMIN ETREX SOLAR ID:QCXT37663 - S/N:877001295</t>
        </is>
      </c>
      <c r="D17" s="31" t="n">
        <v>2200</v>
      </c>
      <c r="E17" s="31" t="n">
        <v>2200</v>
      </c>
      <c r="F17" s="29" t="inlineStr">
        <is>
          <t>60%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SMARTWATCH (RELOG.INTLG.) APPLE SERIES 9 - 41MM - A2978</t>
        </is>
      </c>
      <c r="D18" s="35" t="n">
        <v>1900</v>
      </c>
      <c r="E18" s="35" t="n">
        <v>1900</v>
      </c>
      <c r="F18" s="33" t="inlineStr">
        <is>
          <t>65%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SMARTWATCH (RELOG.INTLG.) APPLE SERIES 9 - 41MM - A2978 N.S. L4TXW3VH4G</t>
        </is>
      </c>
      <c r="D19" s="31" t="n">
        <v>1900</v>
      </c>
      <c r="E19" s="31" t="n">
        <v>1900</v>
      </c>
      <c r="F19" s="29" t="inlineStr">
        <is>
          <t>65%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GPS GARMIN STRIKER VIVID 5CV ID:MNCF18453 - S/N:6SQ128609</t>
        </is>
      </c>
      <c r="D20" s="35" t="n">
        <v>1900</v>
      </c>
      <c r="E20" s="35" t="n">
        <v>1900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GPS GARMIN STRIKER VIVID 7CV ID:IZYQ21872 - S/N:6SR052322</t>
        </is>
      </c>
      <c r="D21" s="31" t="n">
        <v>1800</v>
      </c>
      <c r="E21" s="31" t="n">
        <v>1800</v>
      </c>
      <c r="F21" s="29" t="inlineStr">
        <is>
          <t>60%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SMARTWATCH (RELOG.INTLG.) AMAZFIT T-REX ULTRA ID:JSPJ64282 - S/N:21422404007348</t>
        </is>
      </c>
      <c r="D22" s="35" t="n">
        <v>1700</v>
      </c>
      <c r="E22" s="35" t="n">
        <v>1700</v>
      </c>
      <c r="F22" s="33" t="inlineStr">
        <is>
          <t>70%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SMARTWATCH (RELOG.INTLG.) AMAZFIT T-REXULTRA ID:JSPJ64282 - S/N:21422404007313</t>
        </is>
      </c>
      <c r="D23" s="31" t="n">
        <v>1700</v>
      </c>
      <c r="E23" s="31" t="n">
        <v>1700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5</v>
      </c>
      <c r="C24" s="34" t="inlineStr">
        <is>
          <t>DRONE RADIOCONTROLADO LYZRC ID:RJUL75161 SEM N/S</t>
        </is>
      </c>
      <c r="D24" s="35" t="n">
        <v>300</v>
      </c>
      <c r="E24" s="35" t="n">
        <v>1500</v>
      </c>
      <c r="F24" s="33" t="inlineStr">
        <is>
          <t>60%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RADIO COMUNICADOR PORTATIL ICOM IC-M37 ID:AZAP56317 - S/N:4909723146636</t>
        </is>
      </c>
      <c r="D25" s="31" t="n">
        <v>1500</v>
      </c>
      <c r="E25" s="31" t="n">
        <v>1500</v>
      </c>
      <c r="F25" s="29" t="inlineStr">
        <is>
          <t>60%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GPS GARMIN STRIKER VIVID 7CV ID:IZYQ21872 - S/N:6SR048759</t>
        </is>
      </c>
      <c r="D26" s="35" t="n">
        <v>1450</v>
      </c>
      <c r="E26" s="35" t="n">
        <v>1450</v>
      </c>
      <c r="F26" s="33" t="inlineStr">
        <is>
          <t>70%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SMARTWATCH (RELOG.INTLG.) GARMIN FORERUNNER 265 N.S. 7W0046389</t>
        </is>
      </c>
      <c r="D27" s="31" t="n">
        <v>1300</v>
      </c>
      <c r="E27" s="31" t="n">
        <v>1300</v>
      </c>
      <c r="F27" s="29" t="inlineStr">
        <is>
          <t>75%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GPS GARMIN ETREX 32X ID:HQYQ19115 - S/N:7Q2002805</t>
        </is>
      </c>
      <c r="D28" s="35" t="n">
        <v>1300</v>
      </c>
      <c r="E28" s="35" t="n">
        <v>1300</v>
      </c>
      <c r="F28" s="33" t="inlineStr">
        <is>
          <t>60%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RADIO UNIDEN VHF MARITIME - UM385 ID:XYEN29130 - S/N:28011085</t>
        </is>
      </c>
      <c r="D29" s="31" t="n">
        <v>1300</v>
      </c>
      <c r="E29" s="31" t="n">
        <v>1300</v>
      </c>
      <c r="F29" s="29" t="inlineStr">
        <is>
          <t>65%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RADIO AMADOR PX - YAESU FT-2980R - VHF FM TRANSCEIVER ID 43322186918 - SN 3E801366</t>
        </is>
      </c>
      <c r="D30" s="35" t="n">
        <v>1100</v>
      </c>
      <c r="E30" s="35" t="n">
        <v>1100</v>
      </c>
      <c r="F30" s="33" t="inlineStr">
        <is>
          <t>65%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GPS GARMIN STRIKER PLUS 4 ID:HFOE98294 - N/S:5A8292146</t>
        </is>
      </c>
      <c r="D31" s="31" t="n">
        <v>1000</v>
      </c>
      <c r="E31" s="31" t="n">
        <v>1000</v>
      </c>
      <c r="F31" s="29" t="inlineStr">
        <is>
          <t>70%</t>
        </is>
      </c>
      <c r="G31" s="32" t="inlineStr">
        <is>
          <t>ver no ML</t>
        </is>
      </c>
    </row>
    <row r="32">
      <c r="A32" s="33" t="n">
        <v>22</v>
      </c>
      <c r="B32" s="33" t="n">
        <v>1</v>
      </c>
      <c r="C32" s="34" t="inlineStr">
        <is>
          <t>GPS GARMIN STRIKER PLUS 4 ID:HFOE98294 - N/S:5A8292145</t>
        </is>
      </c>
      <c r="D32" s="35" t="n">
        <v>1000</v>
      </c>
      <c r="E32" s="35" t="n">
        <v>1000</v>
      </c>
      <c r="F32" s="33" t="inlineStr">
        <is>
          <t>70%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GPS GARMIN STRIKER PLUS 4 ID:HFOE98294 - N/S:5A8291887</t>
        </is>
      </c>
      <c r="D33" s="31" t="n">
        <v>1000</v>
      </c>
      <c r="E33" s="31" t="n">
        <v>1000</v>
      </c>
      <c r="F33" s="29" t="inlineStr">
        <is>
          <t>70%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GPS GARMIN STRIKER 4 ID:MDWD21373 - S/N:4J3824019</t>
        </is>
      </c>
      <c r="D34" s="35" t="n">
        <v>1000</v>
      </c>
      <c r="E34" s="35" t="n">
        <v>1000</v>
      </c>
      <c r="F34" s="33" t="inlineStr">
        <is>
          <t>65%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GPS GARMIN STRIKER 4 ID:MDWD21373 - S/N:4J3805556</t>
        </is>
      </c>
      <c r="D35" s="31" t="n">
        <v>1000</v>
      </c>
      <c r="E35" s="31" t="n">
        <v>1000</v>
      </c>
      <c r="F35" s="29" t="inlineStr">
        <is>
          <t>65%</t>
        </is>
      </c>
      <c r="G35" s="32" t="inlineStr">
        <is>
          <t>ver no ML</t>
        </is>
      </c>
    </row>
    <row r="36">
      <c r="A36" s="33" t="n">
        <v>26</v>
      </c>
      <c r="B36" s="33" t="n">
        <v>1</v>
      </c>
      <c r="C36" s="34" t="inlineStr">
        <is>
          <t>GPS GARMIN STRIKER 4 ID:MDWD21373 - S/N:4J3824087</t>
        </is>
      </c>
      <c r="D36" s="35" t="n">
        <v>1000</v>
      </c>
      <c r="E36" s="35" t="n">
        <v>1000</v>
      </c>
      <c r="F36" s="33" t="inlineStr">
        <is>
          <t>65%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SMARTWATCH (RELOG.INTLG.) AMAZFIT T-REX ULTRA ID:PNHB48134 - S/N:21422329000878</t>
        </is>
      </c>
      <c r="D37" s="31" t="n">
        <v>1000</v>
      </c>
      <c r="E37" s="31" t="n">
        <v>1000</v>
      </c>
      <c r="F37" s="29" t="inlineStr">
        <is>
          <t>55%</t>
        </is>
      </c>
      <c r="G37" s="32" t="inlineStr">
        <is>
          <t>ver no ML</t>
        </is>
      </c>
    </row>
    <row r="38">
      <c r="A38" s="33" t="n">
        <v>28</v>
      </c>
      <c r="B38" s="33" t="n">
        <v>1</v>
      </c>
      <c r="C38" s="34" t="inlineStr">
        <is>
          <t>GPS GARMIN STRIKER PLUS 4 ID:HFOE98294 - S/N:5A8359929</t>
        </is>
      </c>
      <c r="D38" s="35" t="n">
        <v>1000</v>
      </c>
      <c r="E38" s="35" t="n">
        <v>1000</v>
      </c>
      <c r="F38" s="33" t="inlineStr">
        <is>
          <t>70%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GPS GARMIN STRIKER PLUS 4 ID:HFOE98294 - S/N:5A8369842</t>
        </is>
      </c>
      <c r="D39" s="31" t="n">
        <v>1000</v>
      </c>
      <c r="E39" s="31" t="n">
        <v>1000</v>
      </c>
      <c r="F39" s="29" t="inlineStr">
        <is>
          <t>70%</t>
        </is>
      </c>
      <c r="G39" s="32" t="inlineStr">
        <is>
          <t>ver no ML</t>
        </is>
      </c>
    </row>
    <row r="40">
      <c r="A40" s="33" t="n">
        <v>30</v>
      </c>
      <c r="B40" s="33" t="n">
        <v>1</v>
      </c>
      <c r="C40" s="34" t="inlineStr">
        <is>
          <t>SMARTWATCH (RELOG.INTLG.) APPLE SERIES SE - 44MM - A2723 N.S. JPX0RM9XFY</t>
        </is>
      </c>
      <c r="D40" s="35" t="n">
        <v>950</v>
      </c>
      <c r="E40" s="35" t="n">
        <v>950</v>
      </c>
      <c r="F40" s="33" t="inlineStr">
        <is>
          <t>70%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SMARTWATCH (RELOG.INTLG.) APPLE GEN2 SE - 44MM - A2723 ID:MMDQ38885 - S/N:SLNQXD4G6FD</t>
        </is>
      </c>
      <c r="D41" s="31" t="n">
        <v>950</v>
      </c>
      <c r="E41" s="31" t="n">
        <v>950</v>
      </c>
      <c r="F41" s="29" t="inlineStr">
        <is>
          <t>70%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SMARTWATCH (RELOG.INTLG.) APPLE GEN 2 SE - 44MM - A2723 ID:MMDQ38885 - S/N:SJ7Y2K244K6</t>
        </is>
      </c>
      <c r="D42" s="35" t="n">
        <v>950</v>
      </c>
      <c r="E42" s="35" t="n">
        <v>950</v>
      </c>
      <c r="F42" s="33" t="inlineStr">
        <is>
          <t>70%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GPS GARMIN STRIKER PLUS 4 ID:HFOE98294 - N/S:5A8292409</t>
        </is>
      </c>
      <c r="D43" s="31" t="n">
        <v>900</v>
      </c>
      <c r="E43" s="31" t="n">
        <v>900</v>
      </c>
      <c r="F43" s="29" t="inlineStr">
        <is>
          <t>70%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GPS GARMIN STRIKER PLUS 4 ID:HFOE98294 - N/S:5A8294363</t>
        </is>
      </c>
      <c r="D44" s="35" t="n">
        <v>900</v>
      </c>
      <c r="E44" s="35" t="n">
        <v>900</v>
      </c>
      <c r="F44" s="33" t="inlineStr">
        <is>
          <t>70%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ANTENA STARLINK KIT</t>
        </is>
      </c>
      <c r="D45" s="31" t="n">
        <v>900</v>
      </c>
      <c r="E45" s="31" t="n">
        <v>900</v>
      </c>
      <c r="F45" s="29" t="inlineStr">
        <is>
          <t>50%</t>
        </is>
      </c>
      <c r="G45" s="32" t="inlineStr">
        <is>
          <t>ver no ML</t>
        </is>
      </c>
    </row>
    <row r="46">
      <c r="A46" s="33" t="n">
        <v>36</v>
      </c>
      <c r="B46" s="33" t="n">
        <v>1</v>
      </c>
      <c r="C46" s="34" t="inlineStr">
        <is>
          <t>SMARTWATCH (RELOG.INTLG.) AMAZFIT GTR 4 NEW ID:AIPY75811 - S/N:20401216337565</t>
        </is>
      </c>
      <c r="D46" s="35" t="n">
        <v>800</v>
      </c>
      <c r="E46" s="35" t="n">
        <v>800</v>
      </c>
      <c r="F46" s="33" t="inlineStr">
        <is>
          <t>60%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SMARTWATCH (RELOG.INTLG.) AMAZFIT GTS 4 ID:ZHFI62830 - SN:21681326279338</t>
        </is>
      </c>
      <c r="D47" s="31" t="n">
        <v>750</v>
      </c>
      <c r="E47" s="31" t="n">
        <v>750</v>
      </c>
      <c r="F47" s="29" t="inlineStr">
        <is>
          <t>65%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SMARTWATCH (RELOG.INTLG.) AMAZFIT GTS 4 ID:ZHFI62830 - S/N:21681326280289</t>
        </is>
      </c>
      <c r="D48" s="35" t="n">
        <v>750</v>
      </c>
      <c r="E48" s="35" t="n">
        <v>750</v>
      </c>
      <c r="F48" s="33" t="inlineStr">
        <is>
          <t>65%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SMARTWATCH (RELOG.INTLG.) AMAZFIT GTS 4 ID:ZHFI62830 - S/N:21681326281244</t>
        </is>
      </c>
      <c r="D49" s="31" t="n">
        <v>750</v>
      </c>
      <c r="E49" s="31" t="n">
        <v>750</v>
      </c>
      <c r="F49" s="29" t="inlineStr">
        <is>
          <t>65%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SMARTWATCH (RELOG.INTLG.) AMAZFIT GTS 4 ID:LKAM30537 - S/N:21681338312072</t>
        </is>
      </c>
      <c r="D50" s="35" t="n">
        <v>750</v>
      </c>
      <c r="E50" s="35" t="n">
        <v>750</v>
      </c>
      <c r="F50" s="33" t="inlineStr">
        <is>
          <t>65%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SMARTWATCH (RELOG.INTLG.) AMAZFIT CHEETAH ID:ZXBW58285 - S/N:22941328036441</t>
        </is>
      </c>
      <c r="D51" s="31" t="n">
        <v>750</v>
      </c>
      <c r="E51" s="31" t="n">
        <v>750</v>
      </c>
      <c r="F51" s="29" t="inlineStr">
        <is>
          <t>65%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SMARTWATCH (RELOG.INTLG.) GARMIN FORERUNNER 55 ID:43321064482 - S/N:6VB388876</t>
        </is>
      </c>
      <c r="D52" s="35" t="n">
        <v>700</v>
      </c>
      <c r="E52" s="35" t="n">
        <v>700</v>
      </c>
      <c r="F52" s="33" t="inlineStr">
        <is>
          <t>70%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SMARTWATCH (RELOG.INTLG.) GARMIN FORERUNNER 55 ID:43279017063 - S/N:6VB388850</t>
        </is>
      </c>
      <c r="D53" s="31" t="n">
        <v>700</v>
      </c>
      <c r="E53" s="31" t="n">
        <v>700</v>
      </c>
      <c r="F53" s="29" t="inlineStr">
        <is>
          <t>70%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SUPORTE PARA CELULAR DJI OSMO MOBILE 6 ID:QEJM64379 - S/N:5W3VM241152018UH</t>
        </is>
      </c>
      <c r="D54" s="35" t="n">
        <v>700</v>
      </c>
      <c r="E54" s="35" t="n">
        <v>700</v>
      </c>
      <c r="F54" s="33" t="inlineStr">
        <is>
          <t>65%</t>
        </is>
      </c>
      <c r="G54" s="32" t="inlineStr">
        <is>
          <t>ver no ML</t>
        </is>
      </c>
    </row>
    <row r="55">
      <c r="A55" s="29" t="n">
        <v>45</v>
      </c>
      <c r="B55" s="29" t="n">
        <v>3</v>
      </c>
      <c r="C55" s="30" t="inlineStr">
        <is>
          <t>DRONE RADIOCONTROLADO LYZRC L900 ID:UKMK90209 SEM N/S</t>
        </is>
      </c>
      <c r="D55" s="31" t="n">
        <v>220</v>
      </c>
      <c r="E55" s="31" t="n">
        <v>660</v>
      </c>
      <c r="F55" s="29" t="inlineStr">
        <is>
          <t>55%</t>
        </is>
      </c>
      <c r="G55" s="32" t="inlineStr">
        <is>
          <t>ver no ML</t>
        </is>
      </c>
    </row>
    <row r="56">
      <c r="A56" s="33" t="n">
        <v>46</v>
      </c>
      <c r="B56" s="33" t="n">
        <v>1</v>
      </c>
      <c r="C56" s="34" t="inlineStr">
        <is>
          <t>SMARTWATCH (RELOG.INTLG.) AMAZFIT GTR3 - A1971 ID 43300805943 - SN 19711149159005</t>
        </is>
      </c>
      <c r="D56" s="35" t="n">
        <v>650</v>
      </c>
      <c r="E56" s="35" t="n">
        <v>650</v>
      </c>
      <c r="F56" s="33" t="inlineStr">
        <is>
          <t>60%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GPS GARMIN STRIKER 4 ID:MDWD21373 - S/N:4J3821911</t>
        </is>
      </c>
      <c r="D57" s="31" t="n">
        <v>650</v>
      </c>
      <c r="E57" s="31" t="n">
        <v>650</v>
      </c>
      <c r="F57" s="29" t="inlineStr">
        <is>
          <t>70%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SMARTWATCH (RELOG.INTLG.) AMAZFIT T-REX 2 ID:NZNN42294 - S/N:21704401435624</t>
        </is>
      </c>
      <c r="D58" s="35" t="n">
        <v>650</v>
      </c>
      <c r="E58" s="35" t="n">
        <v>650</v>
      </c>
      <c r="F58" s="33" t="inlineStr">
        <is>
          <t>70%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SMARTWATCH (RELOG.INTLG.) AMAZFIT T-REX 2 ID:NZNN42294 - S/N:21704401435304</t>
        </is>
      </c>
      <c r="D59" s="31" t="n">
        <v>650</v>
      </c>
      <c r="E59" s="31" t="n">
        <v>650</v>
      </c>
      <c r="F59" s="29" t="inlineStr">
        <is>
          <t>70%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SMARTWATCH (RELOG.INTLG.) AMAZFIT T-REX 2 ID:NZNN42294 - S/N:21704402441114</t>
        </is>
      </c>
      <c r="D60" s="35" t="n">
        <v>650</v>
      </c>
      <c r="E60" s="35" t="n">
        <v>650</v>
      </c>
      <c r="F60" s="33" t="inlineStr">
        <is>
          <t>70%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SMARTWATCH (RELOG.INTLG.) AMAZFIT T-REX 2 ID:NZNN42294 - S/N:21704351430395</t>
        </is>
      </c>
      <c r="D61" s="31" t="n">
        <v>650</v>
      </c>
      <c r="E61" s="31" t="n">
        <v>650</v>
      </c>
      <c r="F61" s="29" t="inlineStr">
        <is>
          <t>70%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SMARTWATCH (RELOG.INTLG.) AMAZFIT T-REX 2 ID:NZNN42294 - S/N:21704402441778</t>
        </is>
      </c>
      <c r="D62" s="35" t="n">
        <v>650</v>
      </c>
      <c r="E62" s="35" t="n">
        <v>650</v>
      </c>
      <c r="F62" s="33" t="inlineStr">
        <is>
          <t>70%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SMARTWATCH (RELOG.INTLG.) AMAZFIT T-REX 2 ID:NZNN42294 - S/N:21704402441917</t>
        </is>
      </c>
      <c r="D63" s="31" t="n">
        <v>650</v>
      </c>
      <c r="E63" s="31" t="n">
        <v>650</v>
      </c>
      <c r="F63" s="29" t="inlineStr">
        <is>
          <t>70%</t>
        </is>
      </c>
      <c r="G63" s="32" t="inlineStr">
        <is>
          <t>ver no ML</t>
        </is>
      </c>
    </row>
    <row r="64">
      <c r="A64" s="33" t="n">
        <v>54</v>
      </c>
      <c r="B64" s="33" t="n">
        <v>1</v>
      </c>
      <c r="C64" s="34" t="inlineStr">
        <is>
          <t>SMARTWATCH (RELOG.INTLG.) AMAZFIT T-REX 2 ID:NZNN42294 - S/N:21704402440967</t>
        </is>
      </c>
      <c r="D64" s="35" t="n">
        <v>650</v>
      </c>
      <c r="E64" s="35" t="n">
        <v>650</v>
      </c>
      <c r="F64" s="33" t="inlineStr">
        <is>
          <t>70%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SMARTWATCH (RELOG.INTLG.) AMAZFIT T-REX 2 ID:KCSS42842 - S/N:21704351428523</t>
        </is>
      </c>
      <c r="D65" s="31" t="n">
        <v>650</v>
      </c>
      <c r="E65" s="31" t="n">
        <v>650</v>
      </c>
      <c r="F65" s="29" t="inlineStr">
        <is>
          <t>70%</t>
        </is>
      </c>
      <c r="G65" s="32" t="inlineStr">
        <is>
          <t>ver no ML</t>
        </is>
      </c>
    </row>
    <row r="66">
      <c r="A66" s="33" t="n">
        <v>56</v>
      </c>
      <c r="B66" s="33" t="n">
        <v>5</v>
      </c>
      <c r="C66" s="34" t="inlineStr">
        <is>
          <t>GPS IGPSPORT CAD70 SENSOR DE CADENCIA</t>
        </is>
      </c>
      <c r="D66" s="35" t="n">
        <v>120</v>
      </c>
      <c r="E66" s="35" t="n">
        <v>600</v>
      </c>
      <c r="F66" s="33" t="inlineStr">
        <is>
          <t>80%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SMARTWATCH (RELOG.INTLG.) AMAZFIT GTR 4 ID:XXFF90952 - S/N:21661327315184</t>
        </is>
      </c>
      <c r="D67" s="31" t="n">
        <v>600</v>
      </c>
      <c r="E67" s="31" t="n">
        <v>600</v>
      </c>
      <c r="F67" s="29" t="inlineStr">
        <is>
          <t>70%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SMARTWATCH (RELOG.INTLG.) AMAZFIT GTR 4 ID:XXFF90952 - S/N:21661337363006</t>
        </is>
      </c>
      <c r="D68" s="35" t="n">
        <v>600</v>
      </c>
      <c r="E68" s="35" t="n">
        <v>600</v>
      </c>
      <c r="F68" s="33" t="inlineStr">
        <is>
          <t>70%</t>
        </is>
      </c>
      <c r="G68" s="32" t="inlineStr">
        <is>
          <t>ver no ML</t>
        </is>
      </c>
    </row>
    <row r="69">
      <c r="A69" s="29" t="n">
        <v>59</v>
      </c>
      <c r="B69" s="29" t="n">
        <v>1</v>
      </c>
      <c r="C69" s="30" t="inlineStr">
        <is>
          <t>SMARTWATCH (RELOG.INTLG.) AMAZFIT GTR 4 ID:XXFF90952 - S/N:21661327312521</t>
        </is>
      </c>
      <c r="D69" s="31" t="n">
        <v>600</v>
      </c>
      <c r="E69" s="31" t="n">
        <v>600</v>
      </c>
      <c r="F69" s="29" t="inlineStr">
        <is>
          <t>70%</t>
        </is>
      </c>
      <c r="G69" s="32" t="inlineStr">
        <is>
          <t>ver no ML</t>
        </is>
      </c>
    </row>
    <row r="70">
      <c r="A70" s="33" t="n">
        <v>60</v>
      </c>
      <c r="B70" s="33" t="n">
        <v>1</v>
      </c>
      <c r="C70" s="34" t="inlineStr">
        <is>
          <t>SMARTWATCH (RELOG.INTLG.) AMAZFIT GTR 4 ID:XXFF90952 - S/N:21661337367909</t>
        </is>
      </c>
      <c r="D70" s="35" t="n">
        <v>600</v>
      </c>
      <c r="E70" s="35" t="n">
        <v>600</v>
      </c>
      <c r="F70" s="33" t="inlineStr">
        <is>
          <t>70%</t>
        </is>
      </c>
      <c r="G70" s="32" t="inlineStr">
        <is>
          <t>ver no ML</t>
        </is>
      </c>
    </row>
    <row r="71">
      <c r="A71" s="29" t="n">
        <v>61</v>
      </c>
      <c r="B71" s="29" t="n">
        <v>1</v>
      </c>
      <c r="C71" s="30" t="inlineStr">
        <is>
          <t>SMARTWATCH (RELOG.INTLG.) AMAZFIT GTR 4 ID:XXFF90952 - S/N:21661336359268</t>
        </is>
      </c>
      <c r="D71" s="31" t="n">
        <v>600</v>
      </c>
      <c r="E71" s="31" t="n">
        <v>600</v>
      </c>
      <c r="F71" s="29" t="inlineStr">
        <is>
          <t>70%</t>
        </is>
      </c>
      <c r="G71" s="32" t="inlineStr">
        <is>
          <t>ver no ML</t>
        </is>
      </c>
    </row>
    <row r="72">
      <c r="A72" s="33" t="n">
        <v>62</v>
      </c>
      <c r="B72" s="33" t="n">
        <v>1</v>
      </c>
      <c r="C72" s="34" t="inlineStr">
        <is>
          <t>SMARTWATCH (RELOG.INTLG.) AMAZFIT GTR 4 ID:XXFF90952 - S/N:21661327315242</t>
        </is>
      </c>
      <c r="D72" s="35" t="n">
        <v>600</v>
      </c>
      <c r="E72" s="35" t="n">
        <v>600</v>
      </c>
      <c r="F72" s="33" t="inlineStr">
        <is>
          <t>70%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SMARTWATCH (RELOG.INTLG.) AMAZFIT GTS 4 ID:JXPR31593 - N/S:21681338311987</t>
        </is>
      </c>
      <c r="D73" s="31" t="n">
        <v>550</v>
      </c>
      <c r="E73" s="31" t="n">
        <v>550</v>
      </c>
      <c r="F73" s="29" t="inlineStr">
        <is>
          <t>70%</t>
        </is>
      </c>
      <c r="G73" s="32" t="inlineStr">
        <is>
          <t>ver no ML</t>
        </is>
      </c>
    </row>
    <row r="74">
      <c r="A74" s="33" t="n">
        <v>64</v>
      </c>
      <c r="B74" s="33" t="n">
        <v>1</v>
      </c>
      <c r="C74" s="34" t="inlineStr">
        <is>
          <t>SMARTWATCH (RELOG.INTLG.) AMAZFIT GTS 4 ID:JXPR31593 - N/S:21681338312170</t>
        </is>
      </c>
      <c r="D74" s="35" t="n">
        <v>550</v>
      </c>
      <c r="E74" s="35" t="n">
        <v>550</v>
      </c>
      <c r="F74" s="33" t="inlineStr">
        <is>
          <t>70%</t>
        </is>
      </c>
      <c r="G74" s="32" t="inlineStr">
        <is>
          <t>ver no ML</t>
        </is>
      </c>
    </row>
    <row r="75">
      <c r="A75" s="29" t="n">
        <v>65</v>
      </c>
      <c r="B75" s="29" t="n">
        <v>1</v>
      </c>
      <c r="C75" s="30" t="inlineStr">
        <is>
          <t>SMARTWATCH (RELOG.INTLG.) AMAZFIT GTS 4 ID:XXFF90952 - S/N:21661337367434</t>
        </is>
      </c>
      <c r="D75" s="31" t="n">
        <v>550</v>
      </c>
      <c r="E75" s="31" t="n">
        <v>550</v>
      </c>
      <c r="F75" s="29" t="inlineStr">
        <is>
          <t>70%</t>
        </is>
      </c>
      <c r="G75" s="32" t="inlineStr">
        <is>
          <t>ver no ML</t>
        </is>
      </c>
    </row>
    <row r="76">
      <c r="A76" s="33" t="n">
        <v>66</v>
      </c>
      <c r="B76" s="33" t="n">
        <v>1</v>
      </c>
      <c r="C76" s="34" t="inlineStr">
        <is>
          <t>SMARTWATCH (RELOG.INTLG.) AMAZFIT GTS 4 ID:XXFF90952 - S/N:21661327316246</t>
        </is>
      </c>
      <c r="D76" s="35" t="n">
        <v>550</v>
      </c>
      <c r="E76" s="35" t="n">
        <v>550</v>
      </c>
      <c r="F76" s="33" t="inlineStr">
        <is>
          <t>70%</t>
        </is>
      </c>
      <c r="G76" s="32" t="inlineStr">
        <is>
          <t>ver no ML</t>
        </is>
      </c>
    </row>
    <row r="77">
      <c r="A77" s="29" t="n">
        <v>67</v>
      </c>
      <c r="B77" s="29" t="n">
        <v>1</v>
      </c>
      <c r="C77" s="30" t="inlineStr">
        <is>
          <t>SMARTWATCH (RELOG.INTLG.) AMAZFIT GTS 4 ID:LKAM30537 - S/N:21681338312836</t>
        </is>
      </c>
      <c r="D77" s="31" t="n">
        <v>550</v>
      </c>
      <c r="E77" s="31" t="n">
        <v>550</v>
      </c>
      <c r="F77" s="29" t="inlineStr">
        <is>
          <t>70%</t>
        </is>
      </c>
      <c r="G77" s="32" t="inlineStr">
        <is>
          <t>ver no ML</t>
        </is>
      </c>
    </row>
    <row r="78">
      <c r="A78" s="33" t="n">
        <v>68</v>
      </c>
      <c r="B78" s="33" t="n">
        <v>1</v>
      </c>
      <c r="C78" s="34" t="inlineStr">
        <is>
          <t>SMARTWATCH (RELOG.INTLG.) AMAZFIT GTS 4 ID:LKAM30537 - S/N:21681338312667</t>
        </is>
      </c>
      <c r="D78" s="35" t="n">
        <v>550</v>
      </c>
      <c r="E78" s="35" t="n">
        <v>550</v>
      </c>
      <c r="F78" s="33" t="inlineStr">
        <is>
          <t>70%</t>
        </is>
      </c>
      <c r="G78" s="32" t="inlineStr">
        <is>
          <t>ver no ML</t>
        </is>
      </c>
    </row>
    <row r="79">
      <c r="A79" s="29" t="n">
        <v>69</v>
      </c>
      <c r="B79" s="29" t="n">
        <v>1</v>
      </c>
      <c r="C79" s="30" t="inlineStr">
        <is>
          <t>SMARTWATCH (RELOG.INTLG.) AMAZFIT GTS 4 ID:LKAM30537 - S/N:21681338311499</t>
        </is>
      </c>
      <c r="D79" s="31" t="n">
        <v>550</v>
      </c>
      <c r="E79" s="31" t="n">
        <v>550</v>
      </c>
      <c r="F79" s="29" t="inlineStr">
        <is>
          <t>70%</t>
        </is>
      </c>
      <c r="G79" s="32" t="inlineStr">
        <is>
          <t>ver no ML</t>
        </is>
      </c>
    </row>
    <row r="80">
      <c r="A80" s="33" t="n">
        <v>70</v>
      </c>
      <c r="B80" s="33" t="n">
        <v>1</v>
      </c>
      <c r="C80" s="34" t="inlineStr">
        <is>
          <t>SMARTWATCH (RELOG.INTLG.) AMAZFIT GTS4 ID:LGMN29842 - S/N: 21681241134445</t>
        </is>
      </c>
      <c r="D80" s="35" t="n">
        <v>550</v>
      </c>
      <c r="E80" s="35" t="n">
        <v>550</v>
      </c>
      <c r="F80" s="33" t="inlineStr">
        <is>
          <t>70%</t>
        </is>
      </c>
      <c r="G80" s="32" t="inlineStr">
        <is>
          <t>ver no ML</t>
        </is>
      </c>
    </row>
    <row r="81">
      <c r="A81" s="29" t="n">
        <v>71</v>
      </c>
      <c r="B81" s="29" t="n">
        <v>1</v>
      </c>
      <c r="C81" s="30" t="inlineStr">
        <is>
          <t>SMARTWATCH (RELOG.INTLG.) AMAZFIT GTS 4 ID:OZLI58387 - S/N:21681241137695</t>
        </is>
      </c>
      <c r="D81" s="31" t="n">
        <v>550</v>
      </c>
      <c r="E81" s="31" t="n">
        <v>550</v>
      </c>
      <c r="F81" s="29" t="inlineStr">
        <is>
          <t>70%</t>
        </is>
      </c>
      <c r="G81" s="32" t="inlineStr">
        <is>
          <t>ver no ML</t>
        </is>
      </c>
    </row>
    <row r="82">
      <c r="A82" s="33" t="n">
        <v>72</v>
      </c>
      <c r="B82" s="33" t="n">
        <v>1</v>
      </c>
      <c r="C82" s="34" t="inlineStr">
        <is>
          <t>SUPORTE PARA CELULAR DJI OSMO MOBILE 6</t>
        </is>
      </c>
      <c r="D82" s="35" t="n">
        <v>520</v>
      </c>
      <c r="E82" s="35" t="n">
        <v>520</v>
      </c>
      <c r="F82" s="33" t="inlineStr">
        <is>
          <t>75%</t>
        </is>
      </c>
      <c r="G82" s="32" t="inlineStr">
        <is>
          <t>ver no ML</t>
        </is>
      </c>
    </row>
    <row r="83">
      <c r="A83" s="29" t="n">
        <v>73</v>
      </c>
      <c r="B83" s="29" t="n">
        <v>1</v>
      </c>
      <c r="C83" s="30" t="inlineStr">
        <is>
          <t>SUPORTE PARA CELULAR DJI OSMO MOBILE 6 ID:QEJM64379 - S/N:5W3VM241152017EA</t>
        </is>
      </c>
      <c r="D83" s="31" t="n">
        <v>520</v>
      </c>
      <c r="E83" s="31" t="n">
        <v>520</v>
      </c>
      <c r="F83" s="29" t="inlineStr">
        <is>
          <t>75%</t>
        </is>
      </c>
      <c r="G83" s="32" t="inlineStr">
        <is>
          <t>ver no ML</t>
        </is>
      </c>
    </row>
    <row r="84">
      <c r="A84" s="33" t="n">
        <v>74</v>
      </c>
      <c r="B84" s="33" t="n">
        <v>1</v>
      </c>
      <c r="C84" s="34" t="inlineStr">
        <is>
          <t>SUPORTE PARA CELULAR DJI OSMO MOBILE 6 ID:SLEB14228 - S/N:5W3VM23B2220V7HL</t>
        </is>
      </c>
      <c r="D84" s="35" t="n">
        <v>520</v>
      </c>
      <c r="E84" s="35" t="n">
        <v>520</v>
      </c>
      <c r="F84" s="33" t="inlineStr">
        <is>
          <t>75%</t>
        </is>
      </c>
      <c r="G84" s="32" t="inlineStr">
        <is>
          <t>ver no ML</t>
        </is>
      </c>
    </row>
    <row r="85">
      <c r="A85" s="29" t="n">
        <v>75</v>
      </c>
      <c r="B85" s="29" t="n">
        <v>1</v>
      </c>
      <c r="C85" s="30" t="inlineStr">
        <is>
          <t>SUPORTE PARA CELULAR DJI OSMO MOBILE 6 ID:AEYS52511 - S/N:5W35M241023004JX</t>
        </is>
      </c>
      <c r="D85" s="31" t="n">
        <v>520</v>
      </c>
      <c r="E85" s="31" t="n">
        <v>520</v>
      </c>
      <c r="F85" s="29" t="inlineStr">
        <is>
          <t>75%</t>
        </is>
      </c>
      <c r="G85" s="32" t="inlineStr">
        <is>
          <t>ver no ML</t>
        </is>
      </c>
    </row>
    <row r="86">
      <c r="A86" s="33" t="n">
        <v>76</v>
      </c>
      <c r="B86" s="33" t="n">
        <v>1</v>
      </c>
      <c r="C86" s="34" t="inlineStr">
        <is>
          <t>SUPORTE PARA CELULAR DJI OSMO MOBILE 6 ID:AEYS52511 - S/N:5W35M241023004JP</t>
        </is>
      </c>
      <c r="D86" s="35" t="n">
        <v>520</v>
      </c>
      <c r="E86" s="35" t="n">
        <v>520</v>
      </c>
      <c r="F86" s="33" t="inlineStr">
        <is>
          <t>75%</t>
        </is>
      </c>
      <c r="G86" s="32" t="inlineStr">
        <is>
          <t>ver no ML</t>
        </is>
      </c>
    </row>
    <row r="87">
      <c r="A87" s="29" t="n">
        <v>77</v>
      </c>
      <c r="B87" s="29" t="n">
        <v>1</v>
      </c>
      <c r="C87" s="30" t="inlineStr">
        <is>
          <t>SUPORTE PARA CELULAR DJI OSMO MOBILE 6 ID:AEYS52511 - S/N:74BVM23C181082KM</t>
        </is>
      </c>
      <c r="D87" s="31" t="n">
        <v>520</v>
      </c>
      <c r="E87" s="31" t="n">
        <v>520</v>
      </c>
      <c r="F87" s="29" t="inlineStr">
        <is>
          <t>75%</t>
        </is>
      </c>
      <c r="G87" s="32" t="inlineStr">
        <is>
          <t>ver no ML</t>
        </is>
      </c>
    </row>
    <row r="88">
      <c r="A88" s="33" t="n">
        <v>78</v>
      </c>
      <c r="B88" s="33" t="n">
        <v>1</v>
      </c>
      <c r="C88" s="34" t="inlineStr">
        <is>
          <t>SUPORTE PARA CELULAR DJI OSMO MOBILE 6 ID:AEYS52511 - S/N:5W3VM2372420LKF4</t>
        </is>
      </c>
      <c r="D88" s="35" t="n">
        <v>520</v>
      </c>
      <c r="E88" s="35" t="n">
        <v>520</v>
      </c>
      <c r="F88" s="33" t="inlineStr">
        <is>
          <t>75%</t>
        </is>
      </c>
      <c r="G88" s="32" t="inlineStr">
        <is>
          <t>ver no ML</t>
        </is>
      </c>
    </row>
    <row r="89">
      <c r="A89" s="29" t="n">
        <v>79</v>
      </c>
      <c r="B89" s="29" t="n">
        <v>1</v>
      </c>
      <c r="C89" s="30" t="inlineStr">
        <is>
          <t>SUPORTE PARA CELULAR DJI OSMO MOBILE 6 ID:AEYS52511 - S/N:5W3VM23B2720VV16</t>
        </is>
      </c>
      <c r="D89" s="31" t="n">
        <v>520</v>
      </c>
      <c r="E89" s="31" t="n">
        <v>520</v>
      </c>
      <c r="F89" s="29" t="inlineStr">
        <is>
          <t>75%</t>
        </is>
      </c>
      <c r="G89" s="32" t="inlineStr">
        <is>
          <t>ver no ML</t>
        </is>
      </c>
    </row>
    <row r="90">
      <c r="A90" s="33" t="n">
        <v>80</v>
      </c>
      <c r="B90" s="33" t="n">
        <v>1</v>
      </c>
      <c r="C90" s="34" t="inlineStr">
        <is>
          <t>SUPORTE PARA CELULAR DJI OSMO MOBILE 6 ID:AEYS52511 - S/N:5W3VM23A2020SRFC</t>
        </is>
      </c>
      <c r="D90" s="35" t="n">
        <v>520</v>
      </c>
      <c r="E90" s="35" t="n">
        <v>520</v>
      </c>
      <c r="F90" s="33" t="inlineStr">
        <is>
          <t>75%</t>
        </is>
      </c>
      <c r="G90" s="32" t="inlineStr">
        <is>
          <t>ver no ML</t>
        </is>
      </c>
    </row>
    <row r="91">
      <c r="A91" s="29" t="n">
        <v>81</v>
      </c>
      <c r="B91" s="29" t="n">
        <v>1</v>
      </c>
      <c r="C91" s="30" t="inlineStr">
        <is>
          <t>SUPORTE PARA CELULAR DJI OSMO MOBILE 6 ID:AEYS52511 - S/N:5W35M242013004U2</t>
        </is>
      </c>
      <c r="D91" s="31" t="n">
        <v>520</v>
      </c>
      <c r="E91" s="31" t="n">
        <v>520</v>
      </c>
      <c r="F91" s="29" t="inlineStr">
        <is>
          <t>75%</t>
        </is>
      </c>
      <c r="G91" s="32" t="inlineStr">
        <is>
          <t>ver no ML</t>
        </is>
      </c>
    </row>
    <row r="92">
      <c r="A92" s="33" t="n">
        <v>82</v>
      </c>
      <c r="B92" s="33" t="n">
        <v>1</v>
      </c>
      <c r="C92" s="34" t="inlineStr">
        <is>
          <t>SONAR GARMIN STRIKER PLUS 4 TRANSDUCER N.S. 5A8158052</t>
        </is>
      </c>
      <c r="D92" s="35" t="n">
        <v>500</v>
      </c>
      <c r="E92" s="35" t="n">
        <v>500</v>
      </c>
      <c r="F92" s="33" t="inlineStr">
        <is>
          <t>75%</t>
        </is>
      </c>
      <c r="G92" s="32" t="inlineStr">
        <is>
          <t>ver no ML</t>
        </is>
      </c>
    </row>
    <row r="93">
      <c r="A93" s="29" t="n">
        <v>83</v>
      </c>
      <c r="B93" s="29" t="n">
        <v>1</v>
      </c>
      <c r="C93" s="30" t="inlineStr">
        <is>
          <t>GPS GARMIN STRIKER PLUS 4 C/ TRANSDUCER ID 43300990645 - SN 5A8367776</t>
        </is>
      </c>
      <c r="D93" s="31" t="n">
        <v>500</v>
      </c>
      <c r="E93" s="31" t="n">
        <v>500</v>
      </c>
      <c r="F93" s="29" t="inlineStr">
        <is>
          <t>75%</t>
        </is>
      </c>
      <c r="G93" s="32" t="inlineStr">
        <is>
          <t>ver no ML</t>
        </is>
      </c>
    </row>
    <row r="94">
      <c r="A94" s="33" t="n">
        <v>84</v>
      </c>
      <c r="B94" s="33" t="n">
        <v>1</v>
      </c>
      <c r="C94" s="34" t="inlineStr">
        <is>
          <t>GPS GARMIN STRIKER PLUS 4 TRANSDUCER ID:RTNR22749 - S/N:5A8367775</t>
        </is>
      </c>
      <c r="D94" s="35" t="n">
        <v>500</v>
      </c>
      <c r="E94" s="35" t="n">
        <v>500</v>
      </c>
      <c r="F94" s="33" t="inlineStr">
        <is>
          <t>75%</t>
        </is>
      </c>
      <c r="G94" s="32" t="inlineStr">
        <is>
          <t>ver no ML</t>
        </is>
      </c>
    </row>
    <row r="95">
      <c r="A95" s="29" t="n">
        <v>85</v>
      </c>
      <c r="B95" s="29" t="n">
        <v>1</v>
      </c>
      <c r="C95" s="30" t="inlineStr">
        <is>
          <t>SUPORTE PARA CELULAR ESTABILIZADOR - DJI OSMO MOBILE 6 ID:MXJU52763 - N/S:5W3VM23A1720SCC7</t>
        </is>
      </c>
      <c r="D95" s="31" t="n">
        <v>480</v>
      </c>
      <c r="E95" s="31" t="n">
        <v>480</v>
      </c>
      <c r="F95" s="29" t="inlineStr">
        <is>
          <t>80%</t>
        </is>
      </c>
      <c r="G95" s="32" t="inlineStr">
        <is>
          <t>ver no ML</t>
        </is>
      </c>
    </row>
    <row r="96">
      <c r="A96" s="33" t="n">
        <v>86</v>
      </c>
      <c r="B96" s="33" t="n">
        <v>1</v>
      </c>
      <c r="C96" s="34" t="inlineStr">
        <is>
          <t>SUPORTE PARA CELULAR DJI OSMO MOBILE 6 ID:ZVZD92203 - S/N:5W3VM24125202ELH</t>
        </is>
      </c>
      <c r="D96" s="35" t="n">
        <v>480</v>
      </c>
      <c r="E96" s="35" t="n">
        <v>480</v>
      </c>
      <c r="F96" s="33" t="inlineStr">
        <is>
          <t>80%</t>
        </is>
      </c>
      <c r="G96" s="32" t="inlineStr">
        <is>
          <t>ver no ML</t>
        </is>
      </c>
    </row>
    <row r="97">
      <c r="A97" s="29" t="n">
        <v>87</v>
      </c>
      <c r="B97" s="29" t="n">
        <v>1</v>
      </c>
      <c r="C97" s="30" t="inlineStr">
        <is>
          <t>SUPORTE PARA CELULAR DJI OSMO MOBILE 6 ID:ZVZD92203 - S/N:5W3VM23B2820W1VD</t>
        </is>
      </c>
      <c r="D97" s="31" t="n">
        <v>480</v>
      </c>
      <c r="E97" s="31" t="n">
        <v>480</v>
      </c>
      <c r="F97" s="29" t="inlineStr">
        <is>
          <t>80%</t>
        </is>
      </c>
      <c r="G97" s="32" t="inlineStr">
        <is>
          <t>ver no ML</t>
        </is>
      </c>
    </row>
    <row r="98">
      <c r="A98" s="33" t="n">
        <v>88</v>
      </c>
      <c r="B98" s="33" t="n">
        <v>1</v>
      </c>
      <c r="C98" s="34" t="inlineStr">
        <is>
          <t>SUPORTE PARA CELULAR DJI OSMO MOBILE 6 ID:ZVZD92203 - S/N:5W3VM2310920C8LT</t>
        </is>
      </c>
      <c r="D98" s="35" t="n">
        <v>480</v>
      </c>
      <c r="E98" s="35" t="n">
        <v>480</v>
      </c>
      <c r="F98" s="33" t="inlineStr">
        <is>
          <t>80%</t>
        </is>
      </c>
      <c r="G98" s="32" t="inlineStr">
        <is>
          <t>ver no ML</t>
        </is>
      </c>
    </row>
    <row r="99">
      <c r="A99" s="29" t="n">
        <v>89</v>
      </c>
      <c r="B99" s="29" t="n">
        <v>1</v>
      </c>
      <c r="C99" s="30" t="inlineStr">
        <is>
          <t>SUPORTE PARA CELULAR DJI OSMO MOBILE 6 ID:ZVZD92203 - S/N:5W35M23C023003XJ</t>
        </is>
      </c>
      <c r="D99" s="31" t="n">
        <v>480</v>
      </c>
      <c r="E99" s="31" t="n">
        <v>480</v>
      </c>
      <c r="F99" s="29" t="inlineStr">
        <is>
          <t>80%</t>
        </is>
      </c>
      <c r="G99" s="32" t="inlineStr">
        <is>
          <t>ver no ML</t>
        </is>
      </c>
    </row>
    <row r="100">
      <c r="A100" s="33" t="n">
        <v>90</v>
      </c>
      <c r="B100" s="33" t="n">
        <v>1</v>
      </c>
      <c r="C100" s="34" t="inlineStr">
        <is>
          <t>SUPORTE PARA CELULAR DJI OSMO MOBILE 6 ID:ZVZD92203 - S/N:5W3VM24125202DUC</t>
        </is>
      </c>
      <c r="D100" s="35" t="n">
        <v>480</v>
      </c>
      <c r="E100" s="35" t="n">
        <v>480</v>
      </c>
      <c r="F100" s="33" t="inlineStr">
        <is>
          <t>80%</t>
        </is>
      </c>
      <c r="G100" s="32" t="inlineStr">
        <is>
          <t>ver no ML</t>
        </is>
      </c>
    </row>
    <row r="101">
      <c r="A101" s="29" t="n">
        <v>91</v>
      </c>
      <c r="B101" s="29" t="n">
        <v>1</v>
      </c>
      <c r="C101" s="30" t="inlineStr">
        <is>
          <t>SUPORTE PARA CELULAR DJI OSMO MOBILE 6 ID:ZVZD92203 - S/N:5W3VM23B2720VV0X</t>
        </is>
      </c>
      <c r="D101" s="31" t="n">
        <v>480</v>
      </c>
      <c r="E101" s="31" t="n">
        <v>480</v>
      </c>
      <c r="F101" s="29" t="inlineStr">
        <is>
          <t>80%</t>
        </is>
      </c>
      <c r="G101" s="32" t="inlineStr">
        <is>
          <t>ver no ML</t>
        </is>
      </c>
    </row>
    <row r="102">
      <c r="A102" s="33" t="n">
        <v>92</v>
      </c>
      <c r="B102" s="33" t="n">
        <v>1</v>
      </c>
      <c r="C102" s="34" t="inlineStr">
        <is>
          <t>SUPORTE PARA CELULAR DJI OSMO MOBILE 6 ID:JOZH24619 - S/N:5W3VM23B1320UBUP</t>
        </is>
      </c>
      <c r="D102" s="35" t="n">
        <v>480</v>
      </c>
      <c r="E102" s="35" t="n">
        <v>480</v>
      </c>
      <c r="F102" s="33" t="inlineStr">
        <is>
          <t>80%</t>
        </is>
      </c>
      <c r="G102" s="32" t="inlineStr">
        <is>
          <t>ver no ML</t>
        </is>
      </c>
    </row>
    <row r="103">
      <c r="A103" s="29" t="n">
        <v>93</v>
      </c>
      <c r="B103" s="29" t="n">
        <v>1</v>
      </c>
      <c r="C103" s="30" t="inlineStr">
        <is>
          <t>SUPORTE PARA CELULAR DJI OSMO MOBILE 6 ID:ZVZD92203 - S/N:5W3VM24127202N8S</t>
        </is>
      </c>
      <c r="D103" s="31" t="n">
        <v>480</v>
      </c>
      <c r="E103" s="31" t="n">
        <v>480</v>
      </c>
      <c r="F103" s="29" t="inlineStr">
        <is>
          <t>80%</t>
        </is>
      </c>
      <c r="G103" s="32" t="inlineStr">
        <is>
          <t>ver no ML</t>
        </is>
      </c>
    </row>
    <row r="104">
      <c r="A104" s="33" t="n">
        <v>94</v>
      </c>
      <c r="B104" s="33" t="n">
        <v>1</v>
      </c>
      <c r="C104" s="34" t="inlineStr">
        <is>
          <t>SUPORTE PARA CELULAR DJI OSMO MOBILE 6 ID:LOTP68395 - S/N:5W3VM23B0620TQLF</t>
        </is>
      </c>
      <c r="D104" s="35" t="n">
        <v>480</v>
      </c>
      <c r="E104" s="35" t="n">
        <v>480</v>
      </c>
      <c r="F104" s="33" t="inlineStr">
        <is>
          <t>80%</t>
        </is>
      </c>
      <c r="G104" s="32" t="inlineStr">
        <is>
          <t>ver no ML</t>
        </is>
      </c>
    </row>
    <row r="105">
      <c r="A105" s="29" t="n">
        <v>95</v>
      </c>
      <c r="B105" s="29" t="n">
        <v>1</v>
      </c>
      <c r="C105" s="30" t="inlineStr">
        <is>
          <t>SUPORTE PARA CELULAR DJI OSMO MOBILE 6 ID:LOTP68395 - S/N:5W3VM23B2020V18Y</t>
        </is>
      </c>
      <c r="D105" s="31" t="n">
        <v>480</v>
      </c>
      <c r="E105" s="31" t="n">
        <v>480</v>
      </c>
      <c r="F105" s="29" t="inlineStr">
        <is>
          <t>80%</t>
        </is>
      </c>
      <c r="G105" s="32" t="inlineStr">
        <is>
          <t>ver no ML</t>
        </is>
      </c>
    </row>
    <row r="106">
      <c r="A106" s="33" t="n">
        <v>96</v>
      </c>
      <c r="B106" s="33" t="n">
        <v>1</v>
      </c>
      <c r="C106" s="34" t="inlineStr">
        <is>
          <t>SUPORTE PARA CELULAR DJI OSMO MOBILE 6 ID:NHCM54842 - S/N:5W3VM23C1420XEDT</t>
        </is>
      </c>
      <c r="D106" s="35" t="n">
        <v>480</v>
      </c>
      <c r="E106" s="35" t="n">
        <v>480</v>
      </c>
      <c r="F106" s="33" t="inlineStr">
        <is>
          <t>80%</t>
        </is>
      </c>
      <c r="G106" s="32" t="inlineStr">
        <is>
          <t>ver no ML</t>
        </is>
      </c>
    </row>
    <row r="107">
      <c r="A107" s="29" t="n">
        <v>97</v>
      </c>
      <c r="B107" s="29" t="n">
        <v>1</v>
      </c>
      <c r="C107" s="30" t="inlineStr">
        <is>
          <t>SUPORTE PARA CELULAR - STABILIZADOR - DJI OSMO MOBILE 6 ID:LOTP68395 - S/N:5W3VM241232024FR</t>
        </is>
      </c>
      <c r="D107" s="31" t="n">
        <v>480</v>
      </c>
      <c r="E107" s="31" t="n">
        <v>480</v>
      </c>
      <c r="F107" s="29" t="inlineStr">
        <is>
          <t>80%</t>
        </is>
      </c>
      <c r="G107" s="32" t="inlineStr">
        <is>
          <t>ver no ML</t>
        </is>
      </c>
    </row>
    <row r="108">
      <c r="A108" s="33" t="n">
        <v>98</v>
      </c>
      <c r="B108" s="33" t="n">
        <v>1</v>
      </c>
      <c r="C108" s="34" t="inlineStr">
        <is>
          <t>SUPORTE PARA CELULAR DJI OSMO MOBILE SE ID:RKLF49555 - S/N:5W6VM23B2540BP50</t>
        </is>
      </c>
      <c r="D108" s="35" t="n">
        <v>480</v>
      </c>
      <c r="E108" s="35" t="n">
        <v>480</v>
      </c>
      <c r="F108" s="33" t="inlineStr">
        <is>
          <t>70%</t>
        </is>
      </c>
      <c r="G108" s="32" t="inlineStr">
        <is>
          <t>ver no ML</t>
        </is>
      </c>
    </row>
    <row r="109">
      <c r="A109" s="29" t="n">
        <v>99</v>
      </c>
      <c r="B109" s="29" t="n">
        <v>1</v>
      </c>
      <c r="C109" s="30" t="inlineStr">
        <is>
          <t>SUPORTE PARA CELULAR DJI OSMO MOBILE SE ID:DCOG28334 - S/N:5W6VM23B2540BNYM</t>
        </is>
      </c>
      <c r="D109" s="31" t="n">
        <v>480</v>
      </c>
      <c r="E109" s="31" t="n">
        <v>480</v>
      </c>
      <c r="F109" s="29" t="inlineStr">
        <is>
          <t>70%</t>
        </is>
      </c>
      <c r="G109" s="32" t="inlineStr">
        <is>
          <t>ver no ML</t>
        </is>
      </c>
    </row>
    <row r="110">
      <c r="A110" s="33" t="n">
        <v>100</v>
      </c>
      <c r="B110" s="33" t="n">
        <v>1</v>
      </c>
      <c r="C110" s="34" t="inlineStr">
        <is>
          <t>SUPORTE PARA CELULAR DJI OSMO MOBILE SE ID:RKLF49555 - S/N:5W6VM23C0240C9LT</t>
        </is>
      </c>
      <c r="D110" s="35" t="n">
        <v>480</v>
      </c>
      <c r="E110" s="35" t="n">
        <v>480</v>
      </c>
      <c r="F110" s="33" t="inlineStr">
        <is>
          <t>70%</t>
        </is>
      </c>
      <c r="G110" s="32" t="inlineStr">
        <is>
          <t>ver no ML</t>
        </is>
      </c>
    </row>
    <row r="111">
      <c r="A111" s="29" t="n">
        <v>101</v>
      </c>
      <c r="B111" s="29" t="n">
        <v>1</v>
      </c>
      <c r="C111" s="30" t="inlineStr">
        <is>
          <t>SUPORTE PARA CELULAR DJI OSMO MOBILE SE ID:DCOG28334 - S/N:5W6VM23C0240C9M5</t>
        </is>
      </c>
      <c r="D111" s="31" t="n">
        <v>480</v>
      </c>
      <c r="E111" s="31" t="n">
        <v>480</v>
      </c>
      <c r="F111" s="29" t="inlineStr">
        <is>
          <t>70%</t>
        </is>
      </c>
      <c r="G111" s="32" t="inlineStr">
        <is>
          <t>ver no ML</t>
        </is>
      </c>
    </row>
    <row r="112">
      <c r="A112" s="33" t="n">
        <v>102</v>
      </c>
      <c r="B112" s="33" t="n">
        <v>1</v>
      </c>
      <c r="C112" s="34" t="inlineStr">
        <is>
          <t>SUPORTE PARA CELULAR DJI OSMO MOBILE SE ID:DCOG28334 - S/N:5W6VM23B2540BP0Z</t>
        </is>
      </c>
      <c r="D112" s="35" t="n">
        <v>480</v>
      </c>
      <c r="E112" s="35" t="n">
        <v>480</v>
      </c>
      <c r="F112" s="33" t="inlineStr">
        <is>
          <t>70%</t>
        </is>
      </c>
      <c r="G112" s="32" t="inlineStr">
        <is>
          <t>ver no ML</t>
        </is>
      </c>
    </row>
    <row r="113">
      <c r="A113" s="29" t="n">
        <v>103</v>
      </c>
      <c r="B113" s="29" t="n">
        <v>1</v>
      </c>
      <c r="C113" s="30" t="inlineStr">
        <is>
          <t>SUPORTE PARA CELULAR DJI OSMO MOBILE SE ID:FXXK41854 - S/N:5W6VM23C1240DELP</t>
        </is>
      </c>
      <c r="D113" s="31" t="n">
        <v>480</v>
      </c>
      <c r="E113" s="31" t="n">
        <v>480</v>
      </c>
      <c r="F113" s="29" t="inlineStr">
        <is>
          <t>70%</t>
        </is>
      </c>
      <c r="G113" s="32" t="inlineStr">
        <is>
          <t>ver no ML</t>
        </is>
      </c>
    </row>
    <row r="114">
      <c r="A114" s="33" t="n">
        <v>104</v>
      </c>
      <c r="B114" s="33" t="n">
        <v>1</v>
      </c>
      <c r="C114" s="34" t="inlineStr">
        <is>
          <t>SUPORTE PARA CELULAR DJI OSMO MOBILE SE ID:FXXK41854 - S/N:5W6VM23C1240DEDR</t>
        </is>
      </c>
      <c r="D114" s="35" t="n">
        <v>480</v>
      </c>
      <c r="E114" s="35" t="n">
        <v>480</v>
      </c>
      <c r="F114" s="33" t="inlineStr">
        <is>
          <t>70%</t>
        </is>
      </c>
      <c r="G114" s="32" t="inlineStr">
        <is>
          <t>ver no ML</t>
        </is>
      </c>
    </row>
    <row r="115">
      <c r="A115" s="29" t="n">
        <v>105</v>
      </c>
      <c r="B115" s="29" t="n">
        <v>1</v>
      </c>
      <c r="C115" s="30" t="inlineStr">
        <is>
          <t>RADIO AMADOR UNIDEM UM385BK N.S.28013393</t>
        </is>
      </c>
      <c r="D115" s="31" t="n">
        <v>450</v>
      </c>
      <c r="E115" s="31" t="n">
        <v>450</v>
      </c>
      <c r="F115" s="29" t="inlineStr">
        <is>
          <t>65%</t>
        </is>
      </c>
      <c r="G115" s="32" t="inlineStr">
        <is>
          <t>ver no ML</t>
        </is>
      </c>
    </row>
    <row r="116">
      <c r="A116" s="33" t="n">
        <v>106</v>
      </c>
      <c r="B116" s="33" t="n">
        <v>1</v>
      </c>
      <c r="C116" s="34" t="inlineStr">
        <is>
          <t>SMARTWATCH (RELOG.INTLG.) AMAZFIT WATCH 4 ID:SQMK62713 - S/N:51494/B6AFMN4NR01128</t>
        </is>
      </c>
      <c r="D116" s="35" t="n">
        <v>450</v>
      </c>
      <c r="E116" s="35" t="n">
        <v>450</v>
      </c>
      <c r="F116" s="33" t="inlineStr">
        <is>
          <t>45%</t>
        </is>
      </c>
      <c r="G116" s="32" t="inlineStr">
        <is>
          <t>ver no ML</t>
        </is>
      </c>
    </row>
    <row r="117">
      <c r="A117" s="29" t="n">
        <v>107</v>
      </c>
      <c r="B117" s="29" t="n">
        <v>1</v>
      </c>
      <c r="C117" s="30" t="inlineStr">
        <is>
          <t>SMARTWATCH (RELOG.INTLG.) AMAZFIT ACTIVE - A2211 ID:YKHP22282 - S/N:22118326009013</t>
        </is>
      </c>
      <c r="D117" s="31" t="n">
        <v>450</v>
      </c>
      <c r="E117" s="31" t="n">
        <v>450</v>
      </c>
      <c r="F117" s="29" t="inlineStr">
        <is>
          <t>70%</t>
        </is>
      </c>
      <c r="G117" s="32" t="inlineStr">
        <is>
          <t>ver no ML</t>
        </is>
      </c>
    </row>
    <row r="118">
      <c r="A118" s="33" t="n">
        <v>108</v>
      </c>
      <c r="B118" s="33" t="n">
        <v>1</v>
      </c>
      <c r="C118" s="34" t="inlineStr">
        <is>
          <t>SMARTWATCH (RELOG.INTLG.) AMAZFIT ACTIVE - A2211 ID:HMIB30571 - S/N:22118402001805</t>
        </is>
      </c>
      <c r="D118" s="35" t="n">
        <v>450</v>
      </c>
      <c r="E118" s="35" t="n">
        <v>450</v>
      </c>
      <c r="F118" s="33" t="inlineStr">
        <is>
          <t>70%</t>
        </is>
      </c>
      <c r="G118" s="32" t="inlineStr">
        <is>
          <t>ver no ML</t>
        </is>
      </c>
    </row>
    <row r="119">
      <c r="A119" s="29" t="n">
        <v>109</v>
      </c>
      <c r="B119" s="29" t="n">
        <v>1</v>
      </c>
      <c r="C119" s="30" t="inlineStr">
        <is>
          <t>SMARTWATCH (RELOG.INTLG.) AMAZFIT ACTIVE - A2211 ID:HMIB30571 - S/N:22118402003610</t>
        </is>
      </c>
      <c r="D119" s="31" t="n">
        <v>450</v>
      </c>
      <c r="E119" s="31" t="n">
        <v>450</v>
      </c>
      <c r="F119" s="29" t="inlineStr">
        <is>
          <t>70%</t>
        </is>
      </c>
      <c r="G119" s="32" t="inlineStr">
        <is>
          <t>ver no ML</t>
        </is>
      </c>
    </row>
    <row r="120">
      <c r="A120" s="33" t="n">
        <v>110</v>
      </c>
      <c r="B120" s="33" t="n">
        <v>1</v>
      </c>
      <c r="C120" s="34" t="inlineStr">
        <is>
          <t>SMARTWATCH (RELOG.INTLG.) AMAZFIT ACTIVE ID:HMIB30571 - S/N:22118401000936</t>
        </is>
      </c>
      <c r="D120" s="35" t="n">
        <v>450</v>
      </c>
      <c r="E120" s="35" t="n">
        <v>450</v>
      </c>
      <c r="F120" s="33" t="inlineStr">
        <is>
          <t>70%</t>
        </is>
      </c>
      <c r="G120" s="32" t="inlineStr">
        <is>
          <t>ver no ML</t>
        </is>
      </c>
    </row>
    <row r="121">
      <c r="A121" s="29" t="n">
        <v>111</v>
      </c>
      <c r="B121" s="29" t="n">
        <v>1</v>
      </c>
      <c r="C121" s="30" t="inlineStr">
        <is>
          <t>SMARTWATCH (RELOG.INTLG.) XIAOMI REDMI WATCH 4 ID:SQMK62713 - S/N:51494/B6AFMN4RS14892</t>
        </is>
      </c>
      <c r="D121" s="31" t="n">
        <v>420</v>
      </c>
      <c r="E121" s="31" t="n">
        <v>420</v>
      </c>
      <c r="F121" s="29" t="inlineStr">
        <is>
          <t>70%</t>
        </is>
      </c>
      <c r="G121" s="32" t="inlineStr">
        <is>
          <t>ver no ML</t>
        </is>
      </c>
    </row>
    <row r="122">
      <c r="A122" s="33" t="n">
        <v>112</v>
      </c>
      <c r="B122" s="33" t="n">
        <v>1</v>
      </c>
      <c r="C122" s="34" t="inlineStr">
        <is>
          <t>SMARTWATCH (RELOG.INTLG.) XIAOMI REDMI WATCH 4 ID:UQCD62616 - S/N:51494/B6AFMN4SP03262</t>
        </is>
      </c>
      <c r="D122" s="35" t="n">
        <v>420</v>
      </c>
      <c r="E122" s="35" t="n">
        <v>420</v>
      </c>
      <c r="F122" s="33" t="inlineStr">
        <is>
          <t>70%</t>
        </is>
      </c>
      <c r="G122" s="32" t="inlineStr">
        <is>
          <t>ver no ML</t>
        </is>
      </c>
    </row>
    <row r="123">
      <c r="A123" s="29" t="n">
        <v>113</v>
      </c>
      <c r="B123" s="29" t="n">
        <v>1</v>
      </c>
      <c r="C123" s="30" t="inlineStr">
        <is>
          <t>SMARTWATCH (RELOG.INTLG.) XIAOMI REDMI WATCH 4 ID:UQCD62616 - S/N:51494/B6AFMN4SP05931</t>
        </is>
      </c>
      <c r="D123" s="31" t="n">
        <v>420</v>
      </c>
      <c r="E123" s="31" t="n">
        <v>420</v>
      </c>
      <c r="F123" s="29" t="inlineStr">
        <is>
          <t>70%</t>
        </is>
      </c>
      <c r="G123" s="32" t="inlineStr">
        <is>
          <t>ver no ML</t>
        </is>
      </c>
    </row>
    <row r="124">
      <c r="A124" s="33" t="n">
        <v>114</v>
      </c>
      <c r="B124" s="33" t="n">
        <v>1</v>
      </c>
      <c r="C124" s="34" t="inlineStr">
        <is>
          <t>SMARTWATCH (RELOG.INTLG.) XIAOMI REDMI WATCH 4 ID:UQCD62616 - S/N:51494/B6AFMN4SP00009</t>
        </is>
      </c>
      <c r="D124" s="35" t="n">
        <v>420</v>
      </c>
      <c r="E124" s="35" t="n">
        <v>420</v>
      </c>
      <c r="F124" s="33" t="inlineStr">
        <is>
          <t>70%</t>
        </is>
      </c>
      <c r="G124" s="32" t="inlineStr">
        <is>
          <t>ver no ML</t>
        </is>
      </c>
    </row>
    <row r="125">
      <c r="A125" s="29" t="n">
        <v>115</v>
      </c>
      <c r="B125" s="29" t="n">
        <v>1</v>
      </c>
      <c r="C125" s="30" t="inlineStr">
        <is>
          <t>SUPORTE PARA CELULAR DJI OSMO MOBILE SE ID:ELSI24252 - S/N:5W6VM23A054079EC</t>
        </is>
      </c>
      <c r="D125" s="31" t="n">
        <v>400</v>
      </c>
      <c r="E125" s="31" t="n">
        <v>400</v>
      </c>
      <c r="F125" s="29" t="inlineStr">
        <is>
          <t>65%</t>
        </is>
      </c>
      <c r="G125" s="32" t="inlineStr">
        <is>
          <t>ver no ML</t>
        </is>
      </c>
    </row>
    <row r="126">
      <c r="A126" s="33" t="n">
        <v>116</v>
      </c>
      <c r="B126" s="33" t="n">
        <v>1</v>
      </c>
      <c r="C126" s="34" t="inlineStr">
        <is>
          <t>SUPORTE PARA CELULAR DJI OSMO MOBILE SE ID:ELSI24252 - S/N:5W6VM23B2340B7EK</t>
        </is>
      </c>
      <c r="D126" s="35" t="n">
        <v>400</v>
      </c>
      <c r="E126" s="35" t="n">
        <v>400</v>
      </c>
      <c r="F126" s="33" t="inlineStr">
        <is>
          <t>65%</t>
        </is>
      </c>
      <c r="G126" s="32" t="inlineStr">
        <is>
          <t>ver no ML</t>
        </is>
      </c>
    </row>
    <row r="127">
      <c r="A127" s="29" t="n">
        <v>117</v>
      </c>
      <c r="B127" s="29" t="n">
        <v>1</v>
      </c>
      <c r="C127" s="30" t="inlineStr">
        <is>
          <t>SMARTWATCH (RELOG.INTLG.) AMAZFIT GTR 2 ID:DSML97626 - S/N;19521348L14488</t>
        </is>
      </c>
      <c r="D127" s="31" t="n">
        <v>400</v>
      </c>
      <c r="E127" s="31" t="n">
        <v>400</v>
      </c>
      <c r="F127" s="29" t="inlineStr">
        <is>
          <t>70%</t>
        </is>
      </c>
      <c r="G127" s="32" t="inlineStr">
        <is>
          <t>ver no ML</t>
        </is>
      </c>
    </row>
    <row r="128">
      <c r="A128" s="33" t="n">
        <v>118</v>
      </c>
      <c r="B128" s="33" t="n">
        <v>1</v>
      </c>
      <c r="C128" s="34" t="inlineStr">
        <is>
          <t>SMARTWATCH (RELOG.INTLG.) AMAZFIT GTR 2 ID:XZEM13347 - S/N:19521149471047</t>
        </is>
      </c>
      <c r="D128" s="35" t="n">
        <v>400</v>
      </c>
      <c r="E128" s="35" t="n">
        <v>400</v>
      </c>
      <c r="F128" s="33" t="inlineStr">
        <is>
          <t>70%</t>
        </is>
      </c>
      <c r="G128" s="32" t="inlineStr">
        <is>
          <t>ver no ML</t>
        </is>
      </c>
    </row>
    <row r="129">
      <c r="A129" s="29" t="n">
        <v>119</v>
      </c>
      <c r="B129" s="29" t="n">
        <v>1</v>
      </c>
      <c r="C129" s="30" t="inlineStr">
        <is>
          <t>SMARTWATCH (RELOG.INTLG.) AMAZFIT GTR 2 ID:MNRP17765 - S/N:19521150482061</t>
        </is>
      </c>
      <c r="D129" s="31" t="n">
        <v>400</v>
      </c>
      <c r="E129" s="31" t="n">
        <v>400</v>
      </c>
      <c r="F129" s="29" t="inlineStr">
        <is>
          <t>70%</t>
        </is>
      </c>
      <c r="G129" s="32" t="inlineStr">
        <is>
          <t>ver no ML</t>
        </is>
      </c>
    </row>
    <row r="130">
      <c r="A130" s="33" t="n">
        <v>120</v>
      </c>
      <c r="B130" s="33" t="n">
        <v>1</v>
      </c>
      <c r="C130" s="34" t="inlineStr">
        <is>
          <t>SMARTWATCH (RELOG.INTLG.) AMAZFIT GTR 2 ID:RZLG37853 - S/N:19521401L26616</t>
        </is>
      </c>
      <c r="D130" s="35" t="n">
        <v>400</v>
      </c>
      <c r="E130" s="35" t="n">
        <v>400</v>
      </c>
      <c r="F130" s="33" t="inlineStr">
        <is>
          <t>70%</t>
        </is>
      </c>
      <c r="G130" s="32" t="inlineStr">
        <is>
          <t>ver no ML</t>
        </is>
      </c>
    </row>
    <row r="131">
      <c r="A131" s="29" t="n">
        <v>121</v>
      </c>
      <c r="B131" s="29" t="n">
        <v>1</v>
      </c>
      <c r="C131" s="30" t="inlineStr">
        <is>
          <t>SMARTWATCH (RELOG.INTLG.) AMAZFIT GTR 2 ID:RZLG37853 - S/N:19521401L26335</t>
        </is>
      </c>
      <c r="D131" s="31" t="n">
        <v>400</v>
      </c>
      <c r="E131" s="31" t="n">
        <v>400</v>
      </c>
      <c r="F131" s="29" t="inlineStr">
        <is>
          <t>70%</t>
        </is>
      </c>
      <c r="G131" s="32" t="inlineStr">
        <is>
          <t>ver no ML</t>
        </is>
      </c>
    </row>
    <row r="132">
      <c r="A132" s="33" t="n">
        <v>122</v>
      </c>
      <c r="B132" s="33" t="n">
        <v>1</v>
      </c>
      <c r="C132" s="34" t="inlineStr">
        <is>
          <t>SUPORTE PARA CELULAR DJI OSMO MOBILE SE ID:FXXK41854 - S/N:5W6VM23C1240DELM</t>
        </is>
      </c>
      <c r="D132" s="35" t="n">
        <v>400</v>
      </c>
      <c r="E132" s="35" t="n">
        <v>400</v>
      </c>
      <c r="F132" s="33" t="inlineStr">
        <is>
          <t>75%</t>
        </is>
      </c>
      <c r="G132" s="32" t="inlineStr">
        <is>
          <t>ver no ML</t>
        </is>
      </c>
    </row>
    <row r="133">
      <c r="A133" s="29" t="n">
        <v>123</v>
      </c>
      <c r="B133" s="29" t="n">
        <v>1</v>
      </c>
      <c r="C133" s="30" t="inlineStr">
        <is>
          <t>SUPORTE PARA CELULAR DJI OSMO MOBILE SE ID:EEEC47320 - S/N:5W6VM23A044077D7</t>
        </is>
      </c>
      <c r="D133" s="31" t="n">
        <v>400</v>
      </c>
      <c r="E133" s="31" t="n">
        <v>400</v>
      </c>
      <c r="F133" s="29" t="inlineStr">
        <is>
          <t>75%</t>
        </is>
      </c>
      <c r="G133" s="32" t="inlineStr">
        <is>
          <t>ver no ML</t>
        </is>
      </c>
    </row>
    <row r="134">
      <c r="A134" s="33" t="n">
        <v>124</v>
      </c>
      <c r="B134" s="33" t="n">
        <v>1</v>
      </c>
      <c r="C134" s="34" t="inlineStr">
        <is>
          <t>SUPORTE PARA CELULAR DJI OSMO MOBILE SE ID:ZBDP03410 - S/N:5W6VM23B2940C3JU</t>
        </is>
      </c>
      <c r="D134" s="35" t="n">
        <v>400</v>
      </c>
      <c r="E134" s="35" t="n">
        <v>400</v>
      </c>
      <c r="F134" s="33" t="inlineStr">
        <is>
          <t>75%</t>
        </is>
      </c>
      <c r="G134" s="32" t="inlineStr">
        <is>
          <t>ver no ML</t>
        </is>
      </c>
    </row>
    <row r="135">
      <c r="A135" s="29" t="n">
        <v>125</v>
      </c>
      <c r="B135" s="29" t="n">
        <v>1</v>
      </c>
      <c r="C135" s="30" t="inlineStr">
        <is>
          <t>SUPORTE PARA CELULAR DJI OSMO MOBILE SE ID:MTBA63800 - S/N:5W6VM23B2940C3EW</t>
        </is>
      </c>
      <c r="D135" s="31" t="n">
        <v>400</v>
      </c>
      <c r="E135" s="31" t="n">
        <v>400</v>
      </c>
      <c r="F135" s="29" t="inlineStr">
        <is>
          <t>75%</t>
        </is>
      </c>
      <c r="G135" s="32" t="inlineStr">
        <is>
          <t>ver no ML</t>
        </is>
      </c>
    </row>
    <row r="136">
      <c r="A136" s="33" t="n">
        <v>126</v>
      </c>
      <c r="B136" s="33" t="n">
        <v>1</v>
      </c>
      <c r="C136" s="34" t="inlineStr">
        <is>
          <t>SUPORTE PARA CELULAR DJI OSMO MOBILE SE ID:EEEC47320 - S/N:5W6QM23B2570 01B5</t>
        </is>
      </c>
      <c r="D136" s="35" t="n">
        <v>400</v>
      </c>
      <c r="E136" s="35" t="n">
        <v>400</v>
      </c>
      <c r="F136" s="33" t="inlineStr">
        <is>
          <t>75%</t>
        </is>
      </c>
      <c r="G136" s="32" t="inlineStr">
        <is>
          <t>ver no ML</t>
        </is>
      </c>
    </row>
    <row r="137">
      <c r="A137" s="29" t="n">
        <v>127</v>
      </c>
      <c r="B137" s="29" t="n">
        <v>1</v>
      </c>
      <c r="C137" s="30" t="inlineStr">
        <is>
          <t>SUPORTE PARA CELULAR DJI OSMO MOBILE SE ID:ZBDP03410 - S/N:5W6VM2410240EKPC</t>
        </is>
      </c>
      <c r="D137" s="31" t="n">
        <v>400</v>
      </c>
      <c r="E137" s="31" t="n">
        <v>400</v>
      </c>
      <c r="F137" s="29" t="inlineStr">
        <is>
          <t>75%</t>
        </is>
      </c>
      <c r="G137" s="32" t="inlineStr">
        <is>
          <t>ver no ML</t>
        </is>
      </c>
    </row>
    <row r="138">
      <c r="A138" s="33" t="n">
        <v>128</v>
      </c>
      <c r="B138" s="33" t="n">
        <v>1</v>
      </c>
      <c r="C138" s="34" t="inlineStr">
        <is>
          <t>SMARTWATCH (RELOG.INTLG.) AMAZFIT GTS 4 MINI ID:KJAZ64367 - S/N:21761346108408</t>
        </is>
      </c>
      <c r="D138" s="35" t="n">
        <v>380</v>
      </c>
      <c r="E138" s="35" t="n">
        <v>380</v>
      </c>
      <c r="F138" s="33" t="inlineStr">
        <is>
          <t>65%</t>
        </is>
      </c>
      <c r="G138" s="32" t="inlineStr">
        <is>
          <t>ver no ML</t>
        </is>
      </c>
    </row>
    <row r="139">
      <c r="A139" s="29" t="n">
        <v>129</v>
      </c>
      <c r="B139" s="29" t="n">
        <v>1</v>
      </c>
      <c r="C139" s="30" t="inlineStr">
        <is>
          <t>SMARTWATCH (RELOG.INTLG.) AMAZFIT GTS 4 MINI ID:XZGG25472 - S/N:21761332980942</t>
        </is>
      </c>
      <c r="D139" s="31" t="n">
        <v>380</v>
      </c>
      <c r="E139" s="31" t="n">
        <v>380</v>
      </c>
      <c r="F139" s="29" t="inlineStr">
        <is>
          <t>65%</t>
        </is>
      </c>
      <c r="G139" s="32" t="inlineStr">
        <is>
          <t>ver no ML</t>
        </is>
      </c>
    </row>
    <row r="140">
      <c r="A140" s="33" t="n">
        <v>130</v>
      </c>
      <c r="B140" s="33" t="n">
        <v>1</v>
      </c>
      <c r="C140" s="34" t="inlineStr">
        <is>
          <t>SMARTWATCH (RELOG.INTLG.) AMAZFIT ACTIVE ID:HIAI29021 - S/N:22118349009902</t>
        </is>
      </c>
      <c r="D140" s="35" t="n">
        <v>380</v>
      </c>
      <c r="E140" s="35" t="n">
        <v>380</v>
      </c>
      <c r="F140" s="33" t="inlineStr">
        <is>
          <t>75%</t>
        </is>
      </c>
      <c r="G140" s="32" t="inlineStr">
        <is>
          <t>ver no ML</t>
        </is>
      </c>
    </row>
    <row r="141">
      <c r="A141" s="29" t="n">
        <v>131</v>
      </c>
      <c r="B141" s="29" t="n">
        <v>1</v>
      </c>
      <c r="C141" s="30" t="inlineStr">
        <is>
          <t>SMARTWATCH (RELOG.INTLG.) AMAZFIT ACTIVE ID:JRHX21942 - S/N:22118325003839</t>
        </is>
      </c>
      <c r="D141" s="31" t="n">
        <v>380</v>
      </c>
      <c r="E141" s="31" t="n">
        <v>380</v>
      </c>
      <c r="F141" s="29" t="inlineStr">
        <is>
          <t>75%</t>
        </is>
      </c>
      <c r="G141" s="32" t="inlineStr">
        <is>
          <t>ver no ML</t>
        </is>
      </c>
    </row>
    <row r="142">
      <c r="A142" s="33" t="n">
        <v>132</v>
      </c>
      <c r="B142" s="33" t="n">
        <v>1</v>
      </c>
      <c r="C142" s="34" t="inlineStr">
        <is>
          <t>SMARTWATCH (RELOG.INTLG.) AMAZFIT GTS 4 MINI NEW ID:TFIV90136 - S/N:20354421002443</t>
        </is>
      </c>
      <c r="D142" s="35" t="n">
        <v>350</v>
      </c>
      <c r="E142" s="35" t="n">
        <v>350</v>
      </c>
      <c r="F142" s="33" t="inlineStr">
        <is>
          <t>70%</t>
        </is>
      </c>
      <c r="G142" s="32" t="inlineStr">
        <is>
          <t>ver no ML</t>
        </is>
      </c>
    </row>
    <row r="143">
      <c r="A143" s="29" t="n">
        <v>133</v>
      </c>
      <c r="B143" s="29" t="n">
        <v>1</v>
      </c>
      <c r="C143" s="30" t="inlineStr">
        <is>
          <t>SMARTWATCH (RELOG.INTLG.) AMAZFIT GTS 4 MINI ID:TFIV90136 - S/N:21761336060190</t>
        </is>
      </c>
      <c r="D143" s="31" t="n">
        <v>350</v>
      </c>
      <c r="E143" s="31" t="n">
        <v>350</v>
      </c>
      <c r="F143" s="29" t="inlineStr">
        <is>
          <t>70%</t>
        </is>
      </c>
      <c r="G143" s="32" t="inlineStr">
        <is>
          <t>ver no ML</t>
        </is>
      </c>
    </row>
    <row r="144">
      <c r="A144" s="33" t="n">
        <v>134</v>
      </c>
      <c r="B144" s="33" t="n">
        <v>1</v>
      </c>
      <c r="C144" s="34" t="inlineStr">
        <is>
          <t>SMARTWATCH (RELOG.INTLG.) XIAOMI REDMI WATCH 4 ID:LMKJ45109 - SN:51494;B6AFMN4QT01788</t>
        </is>
      </c>
      <c r="D144" s="35" t="n">
        <v>350</v>
      </c>
      <c r="E144" s="35" t="n">
        <v>350</v>
      </c>
      <c r="F144" s="33" t="inlineStr">
        <is>
          <t>70%</t>
        </is>
      </c>
      <c r="G144" s="32" t="inlineStr">
        <is>
          <t>ver no ML</t>
        </is>
      </c>
    </row>
    <row r="145">
      <c r="A145" s="29" t="n">
        <v>135</v>
      </c>
      <c r="B145" s="29" t="n">
        <v>1</v>
      </c>
      <c r="C145" s="30" t="inlineStr">
        <is>
          <t>SMARTWATCH (RELOG.INTLG.) AMAZFIT GTS 4 MINI ID:TFIV90136 - S/N:21761345099500</t>
        </is>
      </c>
      <c r="D145" s="31" t="n">
        <v>350</v>
      </c>
      <c r="E145" s="31" t="n">
        <v>350</v>
      </c>
      <c r="F145" s="29" t="inlineStr">
        <is>
          <t>70%</t>
        </is>
      </c>
      <c r="G145" s="32" t="inlineStr">
        <is>
          <t>ver no ML</t>
        </is>
      </c>
    </row>
    <row r="146">
      <c r="A146" s="33" t="n">
        <v>136</v>
      </c>
      <c r="B146" s="33" t="n">
        <v>1</v>
      </c>
      <c r="C146" s="34" t="inlineStr">
        <is>
          <t>SMARTWATCH (RELOG.INTLG.) AMAZFIT GTS 4 MINI ID:BLHH30500 - S/N:21761347132266</t>
        </is>
      </c>
      <c r="D146" s="35" t="n">
        <v>350</v>
      </c>
      <c r="E146" s="35" t="n">
        <v>350</v>
      </c>
      <c r="F146" s="33" t="inlineStr">
        <is>
          <t>70%</t>
        </is>
      </c>
      <c r="G146" s="32" t="inlineStr">
        <is>
          <t>ver no ML</t>
        </is>
      </c>
    </row>
    <row r="147">
      <c r="A147" s="29" t="n">
        <v>137</v>
      </c>
      <c r="B147" s="29" t="n">
        <v>1</v>
      </c>
      <c r="C147" s="30" t="inlineStr">
        <is>
          <t>SMARTWATCH (RELOG.INTLG.) AMAZFIT GTS 4 MINI ID:TFIV90136 - S/N:21761346105069</t>
        </is>
      </c>
      <c r="D147" s="31" t="n">
        <v>350</v>
      </c>
      <c r="E147" s="31" t="n">
        <v>350</v>
      </c>
      <c r="F147" s="29" t="inlineStr">
        <is>
          <t>70%</t>
        </is>
      </c>
      <c r="G147" s="32" t="inlineStr">
        <is>
          <t>ver no ML</t>
        </is>
      </c>
    </row>
    <row r="148">
      <c r="A148" s="33" t="n">
        <v>138</v>
      </c>
      <c r="B148" s="33" t="n">
        <v>1</v>
      </c>
      <c r="C148" s="34" t="inlineStr">
        <is>
          <t>SMARTWATCH (RELOG.INTLG.) AMAZFIT GTS 4 MINI ID:BLHH30500 - S/N:21761347126649</t>
        </is>
      </c>
      <c r="D148" s="35" t="n">
        <v>350</v>
      </c>
      <c r="E148" s="35" t="n">
        <v>350</v>
      </c>
      <c r="F148" s="33" t="inlineStr">
        <is>
          <t>70%</t>
        </is>
      </c>
      <c r="G148" s="32" t="inlineStr">
        <is>
          <t>ver no ML</t>
        </is>
      </c>
    </row>
    <row r="149">
      <c r="A149" s="29" t="n">
        <v>139</v>
      </c>
      <c r="B149" s="29" t="n">
        <v>1</v>
      </c>
      <c r="C149" s="30" t="inlineStr">
        <is>
          <t>SMARTWATCH (RELOG.INTLG.) AMAZFIT GTS 4 MINI ID:OYUK30027 - S/N:21761347124482</t>
        </is>
      </c>
      <c r="D149" s="31" t="n">
        <v>350</v>
      </c>
      <c r="E149" s="31" t="n">
        <v>350</v>
      </c>
      <c r="F149" s="29" t="inlineStr">
        <is>
          <t>70%</t>
        </is>
      </c>
      <c r="G149" s="32" t="inlineStr">
        <is>
          <t>ver no ML</t>
        </is>
      </c>
    </row>
    <row r="150">
      <c r="A150" s="33" t="n">
        <v>140</v>
      </c>
      <c r="B150" s="33" t="n">
        <v>1</v>
      </c>
      <c r="C150" s="34" t="inlineStr">
        <is>
          <t>SMARTWATCH (RELOG.INTLG.) AMAZFIT GTS 4 MINI ID:CIKZ91589 - S/N:21761346108399</t>
        </is>
      </c>
      <c r="D150" s="35" t="n">
        <v>350</v>
      </c>
      <c r="E150" s="35" t="n">
        <v>350</v>
      </c>
      <c r="F150" s="33" t="inlineStr">
        <is>
          <t>70%</t>
        </is>
      </c>
      <c r="G150" s="32" t="inlineStr">
        <is>
          <t>ver no ML</t>
        </is>
      </c>
    </row>
    <row r="151">
      <c r="A151" s="29" t="n">
        <v>141</v>
      </c>
      <c r="B151" s="29" t="n">
        <v>1</v>
      </c>
      <c r="C151" s="30" t="inlineStr">
        <is>
          <t>SMARTWATCH (RELOG.INTLG.) AMAZFIT GTS 4 MINI ID:CIKZ91589 - S/N:21761346105155</t>
        </is>
      </c>
      <c r="D151" s="31" t="n">
        <v>350</v>
      </c>
      <c r="E151" s="31" t="n">
        <v>350</v>
      </c>
      <c r="F151" s="29" t="inlineStr">
        <is>
          <t>70%</t>
        </is>
      </c>
      <c r="G151" s="32" t="inlineStr">
        <is>
          <t>ver no ML</t>
        </is>
      </c>
    </row>
    <row r="152">
      <c r="A152" s="33" t="n">
        <v>142</v>
      </c>
      <c r="B152" s="33" t="n">
        <v>1</v>
      </c>
      <c r="C152" s="34" t="inlineStr">
        <is>
          <t>SMARTWATCH (RELOG.INTLG.) AMAZFIT GTS 4 MINI ID:CIKZ91589 - S/N:21761345099478</t>
        </is>
      </c>
      <c r="D152" s="35" t="n">
        <v>350</v>
      </c>
      <c r="E152" s="35" t="n">
        <v>350</v>
      </c>
      <c r="F152" s="33" t="inlineStr">
        <is>
          <t>70%</t>
        </is>
      </c>
      <c r="G152" s="32" t="inlineStr">
        <is>
          <t>ver no ML</t>
        </is>
      </c>
    </row>
    <row r="153">
      <c r="A153" s="29" t="n">
        <v>143</v>
      </c>
      <c r="B153" s="29" t="n">
        <v>1</v>
      </c>
      <c r="C153" s="30" t="inlineStr">
        <is>
          <t>SMARTWATCH (RELOG.INTLG.) AMAZFIT GTS 4 MINI ID:OYUK30027 - S/N:21761347134898</t>
        </is>
      </c>
      <c r="D153" s="31" t="n">
        <v>350</v>
      </c>
      <c r="E153" s="31" t="n">
        <v>350</v>
      </c>
      <c r="F153" s="29" t="inlineStr">
        <is>
          <t>70%</t>
        </is>
      </c>
      <c r="G153" s="32" t="inlineStr">
        <is>
          <t>ver no ML</t>
        </is>
      </c>
    </row>
    <row r="154">
      <c r="A154" s="33" t="n">
        <v>144</v>
      </c>
      <c r="B154" s="33" t="n">
        <v>1</v>
      </c>
      <c r="C154" s="34" t="inlineStr">
        <is>
          <t>SMARTWATCH (RELOG.INTLG.) AMAZFIT GTS 4 MINI ID:OYUK30027 - S/N:21761347125696</t>
        </is>
      </c>
      <c r="D154" s="35" t="n">
        <v>350</v>
      </c>
      <c r="E154" s="35" t="n">
        <v>350</v>
      </c>
      <c r="F154" s="33" t="inlineStr">
        <is>
          <t>70%</t>
        </is>
      </c>
      <c r="G154" s="32" t="inlineStr">
        <is>
          <t>ver no ML</t>
        </is>
      </c>
    </row>
    <row r="155">
      <c r="A155" s="29" t="n">
        <v>145</v>
      </c>
      <c r="B155" s="29" t="n">
        <v>1</v>
      </c>
      <c r="C155" s="30" t="inlineStr">
        <is>
          <t>SMARTWATCH (RELOG.INTLG.) AMAZFIT GTS 4 MINI ID:CIKZ91589 - S/N:21761346104859</t>
        </is>
      </c>
      <c r="D155" s="31" t="n">
        <v>350</v>
      </c>
      <c r="E155" s="31" t="n">
        <v>350</v>
      </c>
      <c r="F155" s="29" t="inlineStr">
        <is>
          <t>70%</t>
        </is>
      </c>
      <c r="G155" s="32" t="inlineStr">
        <is>
          <t>ver no ML</t>
        </is>
      </c>
    </row>
    <row r="156">
      <c r="A156" s="33" t="n">
        <v>146</v>
      </c>
      <c r="B156" s="33" t="n">
        <v>1</v>
      </c>
      <c r="C156" s="34" t="inlineStr">
        <is>
          <t>SMARTWATCH (RELOG.INTLG.) XIAOMI REDMI WATCH 4 ID:LMKJ45109 - S/N:51494;B6AFMN4PQ23967</t>
        </is>
      </c>
      <c r="D156" s="35" t="n">
        <v>350</v>
      </c>
      <c r="E156" s="35" t="n">
        <v>350</v>
      </c>
      <c r="F156" s="33" t="inlineStr">
        <is>
          <t>70%</t>
        </is>
      </c>
      <c r="G156" s="32" t="inlineStr">
        <is>
          <t>ver no ML</t>
        </is>
      </c>
    </row>
    <row r="157">
      <c r="A157" s="29" t="n">
        <v>147</v>
      </c>
      <c r="B157" s="29" t="n">
        <v>1</v>
      </c>
      <c r="C157" s="30" t="inlineStr">
        <is>
          <t>SMARTWATCH (RELOG.INTLG.) XIAOMI REDMI WATCH 4 ID:LMKJ45109 - S/N:51494;B6AFMN4PS05985</t>
        </is>
      </c>
      <c r="D157" s="31" t="n">
        <v>350</v>
      </c>
      <c r="E157" s="31" t="n">
        <v>350</v>
      </c>
      <c r="F157" s="29" t="inlineStr">
        <is>
          <t>70%</t>
        </is>
      </c>
      <c r="G157" s="32" t="inlineStr">
        <is>
          <t>ver no ML</t>
        </is>
      </c>
    </row>
    <row r="158">
      <c r="A158" s="33" t="n">
        <v>148</v>
      </c>
      <c r="B158" s="33" t="n">
        <v>1</v>
      </c>
      <c r="C158" s="34" t="inlineStr">
        <is>
          <t>SMARTWATCH (RELOG.INTLG.) AMAZFIT GTS 4 MINI ID:WBWD18986 - S/N:21761346110601</t>
        </is>
      </c>
      <c r="D158" s="35" t="n">
        <v>350</v>
      </c>
      <c r="E158" s="35" t="n">
        <v>350</v>
      </c>
      <c r="F158" s="33" t="inlineStr">
        <is>
          <t>70%</t>
        </is>
      </c>
      <c r="G158" s="32" t="inlineStr">
        <is>
          <t>ver no ML</t>
        </is>
      </c>
    </row>
    <row r="159">
      <c r="A159" s="29" t="n">
        <v>149</v>
      </c>
      <c r="B159" s="29" t="n">
        <v>1</v>
      </c>
      <c r="C159" s="30" t="inlineStr">
        <is>
          <t>SMARTWATCH (RELOG.INTLG.) AMAZFIT GTS 4 MINI ID:XZGG25472 - S/N:21761316782100</t>
        </is>
      </c>
      <c r="D159" s="31" t="n">
        <v>340</v>
      </c>
      <c r="E159" s="31" t="n">
        <v>340</v>
      </c>
      <c r="F159" s="29" t="inlineStr">
        <is>
          <t>70%</t>
        </is>
      </c>
      <c r="G159" s="32" t="inlineStr">
        <is>
          <t>ver no ML</t>
        </is>
      </c>
    </row>
    <row r="160">
      <c r="A160" s="33" t="n">
        <v>150</v>
      </c>
      <c r="B160" s="33" t="n">
        <v>1</v>
      </c>
      <c r="C160" s="34" t="inlineStr">
        <is>
          <t>SMARTWATCH (RELOG.INTLG.) AMAZFIT GTS 4 MINI ID:OTUR18495 - S/N:21761345096200</t>
        </is>
      </c>
      <c r="D160" s="35" t="n">
        <v>340</v>
      </c>
      <c r="E160" s="35" t="n">
        <v>340</v>
      </c>
      <c r="F160" s="33" t="inlineStr">
        <is>
          <t>70%</t>
        </is>
      </c>
      <c r="G160" s="32" t="inlineStr">
        <is>
          <t>ver no ML</t>
        </is>
      </c>
    </row>
    <row r="161">
      <c r="A161" s="29" t="n">
        <v>151</v>
      </c>
      <c r="B161" s="29" t="n">
        <v>1</v>
      </c>
      <c r="C161" s="30" t="inlineStr">
        <is>
          <t>SMARTWATCH (RELOG.INTLG.) AMAZFIT GTS 4 MINI ID:WEUV21743 - S/N:21761335040759</t>
        </is>
      </c>
      <c r="D161" s="31" t="n">
        <v>340</v>
      </c>
      <c r="E161" s="31" t="n">
        <v>340</v>
      </c>
      <c r="F161" s="29" t="inlineStr">
        <is>
          <t>70%</t>
        </is>
      </c>
      <c r="G161" s="32" t="inlineStr">
        <is>
          <t>ver no ML</t>
        </is>
      </c>
    </row>
    <row r="162">
      <c r="A162" s="33" t="n">
        <v>152</v>
      </c>
      <c r="B162" s="33" t="n">
        <v>1</v>
      </c>
      <c r="C162" s="34" t="inlineStr">
        <is>
          <t>SMARTWATCH (RELOG.INTLG.) AMAZFIT GTS 4 MINI ID:WEUV21743 - S/N:21761335039502</t>
        </is>
      </c>
      <c r="D162" s="35" t="n">
        <v>340</v>
      </c>
      <c r="E162" s="35" t="n">
        <v>340</v>
      </c>
      <c r="F162" s="33" t="inlineStr">
        <is>
          <t>70%</t>
        </is>
      </c>
      <c r="G162" s="32" t="inlineStr">
        <is>
          <t>ver no ML</t>
        </is>
      </c>
    </row>
    <row r="163">
      <c r="A163" s="29" t="n">
        <v>153</v>
      </c>
      <c r="B163" s="29" t="n">
        <v>1</v>
      </c>
      <c r="C163" s="30" t="inlineStr">
        <is>
          <t>SMARTWATCH (RELOG.INTLG.) AMAZFIT GTS 4 MINI ID:WEUV21743 - S/N:21761347128811</t>
        </is>
      </c>
      <c r="D163" s="31" t="n">
        <v>340</v>
      </c>
      <c r="E163" s="31" t="n">
        <v>340</v>
      </c>
      <c r="F163" s="29" t="inlineStr">
        <is>
          <t>70%</t>
        </is>
      </c>
      <c r="G163" s="32" t="inlineStr">
        <is>
          <t>ver no ML</t>
        </is>
      </c>
    </row>
    <row r="164">
      <c r="A164" s="33" t="n">
        <v>154</v>
      </c>
      <c r="B164" s="33" t="n">
        <v>1</v>
      </c>
      <c r="C164" s="34" t="inlineStr">
        <is>
          <t>SMARTWATCH (RELOG.INTLG.) AMAZFIT GTS 4 MINI ID:OTUR18495 - S/N:20354421001257</t>
        </is>
      </c>
      <c r="D164" s="35" t="n">
        <v>340</v>
      </c>
      <c r="E164" s="35" t="n">
        <v>340</v>
      </c>
      <c r="F164" s="33" t="inlineStr">
        <is>
          <t>70%</t>
        </is>
      </c>
      <c r="G164" s="32" t="inlineStr">
        <is>
          <t>ver no ML</t>
        </is>
      </c>
    </row>
    <row r="165">
      <c r="A165" s="29" t="n">
        <v>155</v>
      </c>
      <c r="B165" s="29" t="n">
        <v>1</v>
      </c>
      <c r="C165" s="30" t="inlineStr">
        <is>
          <t>SMARTWATCH (RELOG.INTLG.) AMAZFIT GTS 4 MINI ID:OTUR18495 - S/N:20354421001398</t>
        </is>
      </c>
      <c r="D165" s="31" t="n">
        <v>340</v>
      </c>
      <c r="E165" s="31" t="n">
        <v>340</v>
      </c>
      <c r="F165" s="29" t="inlineStr">
        <is>
          <t>70%</t>
        </is>
      </c>
      <c r="G165" s="32" t="inlineStr">
        <is>
          <t>ver no ML</t>
        </is>
      </c>
    </row>
    <row r="166">
      <c r="A166" s="33" t="n">
        <v>156</v>
      </c>
      <c r="B166" s="33" t="n">
        <v>1</v>
      </c>
      <c r="C166" s="34" t="inlineStr">
        <is>
          <t>SMARTWATCH (RELOG.INTLG.) AMAZFIT GTS 4 MINI ID:QLKH18149 - S/N:21761346109669</t>
        </is>
      </c>
      <c r="D166" s="35" t="n">
        <v>340</v>
      </c>
      <c r="E166" s="35" t="n">
        <v>340</v>
      </c>
      <c r="F166" s="33" t="inlineStr">
        <is>
          <t>70%</t>
        </is>
      </c>
      <c r="G166" s="32" t="inlineStr">
        <is>
          <t>ver no ML</t>
        </is>
      </c>
    </row>
    <row r="167">
      <c r="A167" s="29" t="n">
        <v>157</v>
      </c>
      <c r="B167" s="29" t="n">
        <v>1</v>
      </c>
      <c r="C167" s="30" t="inlineStr">
        <is>
          <t>SMARTWATCH (RELOG.INTLG.) AMAZFIT GTR2 N.S. 850030107992</t>
        </is>
      </c>
      <c r="D167" s="31" t="n">
        <v>300</v>
      </c>
      <c r="E167" s="31" t="n">
        <v>300</v>
      </c>
      <c r="F167" s="29" t="inlineStr">
        <is>
          <t>60%</t>
        </is>
      </c>
      <c r="G167" s="32" t="inlineStr">
        <is>
          <t>ver no ML</t>
        </is>
      </c>
    </row>
    <row r="168">
      <c r="A168" s="33" t="n">
        <v>158</v>
      </c>
      <c r="B168" s="33" t="n">
        <v>1</v>
      </c>
      <c r="C168" s="34" t="inlineStr">
        <is>
          <t>SMARTWATCH (RELOG.INTLG.) AMAZFIT GTR2 N.S. 850030107992</t>
        </is>
      </c>
      <c r="D168" s="35" t="n">
        <v>300</v>
      </c>
      <c r="E168" s="35" t="n">
        <v>300</v>
      </c>
      <c r="F168" s="33" t="inlineStr">
        <is>
          <t>60%</t>
        </is>
      </c>
      <c r="G168" s="32" t="inlineStr">
        <is>
          <t>ver no ML</t>
        </is>
      </c>
    </row>
    <row r="169">
      <c r="A169" s="29" t="n">
        <v>159</v>
      </c>
      <c r="B169" s="29" t="n">
        <v>1</v>
      </c>
      <c r="C169" s="30" t="inlineStr">
        <is>
          <t>SMARTWATCH (RELOG.INTLG.) AMAZFIT GTS 2 ID:ANSX65252 - S/N:19694417L03046</t>
        </is>
      </c>
      <c r="D169" s="31" t="n">
        <v>300</v>
      </c>
      <c r="E169" s="31" t="n">
        <v>300</v>
      </c>
      <c r="F169" s="29" t="inlineStr">
        <is>
          <t>70%</t>
        </is>
      </c>
      <c r="G169" s="32" t="inlineStr">
        <is>
          <t>ver no ML</t>
        </is>
      </c>
    </row>
    <row r="170">
      <c r="A170" s="33" t="n">
        <v>160</v>
      </c>
      <c r="B170" s="33" t="n">
        <v>1</v>
      </c>
      <c r="C170" s="34" t="inlineStr">
        <is>
          <t>SMARTWATCH (RELOG.INTLG.) AMAZFIT GTR MINI ID:JCKE30635 - S/N:21741330162122</t>
        </is>
      </c>
      <c r="D170" s="35" t="n">
        <v>300</v>
      </c>
      <c r="E170" s="35" t="n">
        <v>300</v>
      </c>
      <c r="F170" s="33" t="inlineStr">
        <is>
          <t>65%</t>
        </is>
      </c>
      <c r="G170" s="32" t="inlineStr">
        <is>
          <t>ver no ML</t>
        </is>
      </c>
    </row>
    <row r="171">
      <c r="A171" s="29" t="n">
        <v>161</v>
      </c>
      <c r="B171" s="29" t="n">
        <v>1</v>
      </c>
      <c r="C171" s="30" t="inlineStr">
        <is>
          <t>SMARTWATCH (RELOG.INTLG.) AMAZFIT GTR MINI ID:JCKE30635 - S/N:21741301012737</t>
        </is>
      </c>
      <c r="D171" s="31" t="n">
        <v>300</v>
      </c>
      <c r="E171" s="31" t="n">
        <v>300</v>
      </c>
      <c r="F171" s="29" t="inlineStr">
        <is>
          <t>65%</t>
        </is>
      </c>
      <c r="G171" s="32" t="inlineStr">
        <is>
          <t>ver no ML</t>
        </is>
      </c>
    </row>
    <row r="172">
      <c r="A172" s="33" t="n">
        <v>162</v>
      </c>
      <c r="B172" s="33" t="n">
        <v>1</v>
      </c>
      <c r="C172" s="34" t="inlineStr">
        <is>
          <t>SMARTWATCH (RELOG.INTLG.) AMAZFIT GTR MINI ID:EUGB43164 - S/N:21741349193533</t>
        </is>
      </c>
      <c r="D172" s="35" t="n">
        <v>300</v>
      </c>
      <c r="E172" s="35" t="n">
        <v>300</v>
      </c>
      <c r="F172" s="33" t="inlineStr">
        <is>
          <t>65%</t>
        </is>
      </c>
      <c r="G172" s="32" t="inlineStr">
        <is>
          <t>ver no ML</t>
        </is>
      </c>
    </row>
    <row r="173">
      <c r="A173" s="29" t="n">
        <v>163</v>
      </c>
      <c r="B173" s="29" t="n">
        <v>1</v>
      </c>
      <c r="C173" s="30" t="inlineStr">
        <is>
          <t>SMARTWATCH (RELOG.INTLG.) AMAZFIT GTR 2 ID:RZLG37853 - S/N:19521401L26588</t>
        </is>
      </c>
      <c r="D173" s="31" t="n">
        <v>280</v>
      </c>
      <c r="E173" s="31" t="n">
        <v>280</v>
      </c>
      <c r="F173" s="29" t="inlineStr">
        <is>
          <t>70%</t>
        </is>
      </c>
      <c r="G173" s="32" t="inlineStr">
        <is>
          <t>ver no ML</t>
        </is>
      </c>
    </row>
    <row r="174">
      <c r="A174" s="33" t="n">
        <v>164</v>
      </c>
      <c r="B174" s="33" t="n">
        <v>1</v>
      </c>
      <c r="C174" s="34" t="inlineStr">
        <is>
          <t>SMARTWATCH (RELOG.INTLG.) AMAZFIT BIP 5 ID:JICD68831 - S/N:22153341349035</t>
        </is>
      </c>
      <c r="D174" s="35" t="n">
        <v>250</v>
      </c>
      <c r="E174" s="35" t="n">
        <v>250</v>
      </c>
      <c r="F174" s="33" t="inlineStr">
        <is>
          <t>60%</t>
        </is>
      </c>
      <c r="G174" s="32" t="inlineStr">
        <is>
          <t>ver no ML</t>
        </is>
      </c>
    </row>
    <row r="175">
      <c r="A175" s="29" t="n">
        <v>165</v>
      </c>
      <c r="B175" s="29" t="n">
        <v>1</v>
      </c>
      <c r="C175" s="30" t="inlineStr">
        <is>
          <t>SMARTWATCH (RELOG.INTLG.) AMAZFIT BIP 5 ID:NWLR66137 - S/N:22153338314674</t>
        </is>
      </c>
      <c r="D175" s="31" t="n">
        <v>250</v>
      </c>
      <c r="E175" s="31" t="n">
        <v>250</v>
      </c>
      <c r="F175" s="29" t="inlineStr">
        <is>
          <t>60%</t>
        </is>
      </c>
      <c r="G175" s="32" t="inlineStr">
        <is>
          <t>ver no ML</t>
        </is>
      </c>
    </row>
    <row r="176">
      <c r="A176" s="33" t="n">
        <v>166</v>
      </c>
      <c r="B176" s="33" t="n">
        <v>1</v>
      </c>
      <c r="C176" s="34" t="inlineStr">
        <is>
          <t>SMARTWATCH (RELOG.INTLG.) AMAZFIT BIP 5 ID:MMDQ24439 - S/N:22153344395538</t>
        </is>
      </c>
      <c r="D176" s="35" t="n">
        <v>250</v>
      </c>
      <c r="E176" s="35" t="n">
        <v>250</v>
      </c>
      <c r="F176" s="33" t="inlineStr">
        <is>
          <t>75%</t>
        </is>
      </c>
      <c r="G176" s="32" t="inlineStr">
        <is>
          <t>ver no ML</t>
        </is>
      </c>
    </row>
    <row r="177">
      <c r="A177" s="29" t="n">
        <v>167</v>
      </c>
      <c r="B177" s="29" t="n">
        <v>1</v>
      </c>
      <c r="C177" s="30" t="inlineStr">
        <is>
          <t>SMARTWATCH (RELOG.INTLG.) AMAZFIT BIP 5 ID:PZOM24795 - S/N:22153337286450</t>
        </is>
      </c>
      <c r="D177" s="31" t="n">
        <v>250</v>
      </c>
      <c r="E177" s="31" t="n">
        <v>250</v>
      </c>
      <c r="F177" s="29" t="inlineStr">
        <is>
          <t>75%</t>
        </is>
      </c>
      <c r="G177" s="32" t="inlineStr">
        <is>
          <t>ver no ML</t>
        </is>
      </c>
    </row>
    <row r="178">
      <c r="A178" s="33" t="n">
        <v>168</v>
      </c>
      <c r="B178" s="33" t="n">
        <v>1</v>
      </c>
      <c r="C178" s="34" t="inlineStr">
        <is>
          <t>SUPORTE PARA CELULAR HOHEM ISTEADY MOBILE ID:DSHR80033 - S/N:M5B101423CE000071344</t>
        </is>
      </c>
      <c r="D178" s="35" t="n">
        <v>220</v>
      </c>
      <c r="E178" s="35" t="n">
        <v>220</v>
      </c>
      <c r="F178" s="33" t="inlineStr">
        <is>
          <t>65%</t>
        </is>
      </c>
      <c r="G178" s="32" t="inlineStr">
        <is>
          <t>ver no ML</t>
        </is>
      </c>
    </row>
    <row r="179">
      <c r="A179" s="29" t="n">
        <v>169</v>
      </c>
      <c r="B179" s="29" t="n">
        <v>1</v>
      </c>
      <c r="C179" s="30" t="inlineStr">
        <is>
          <t>GPS LUCKY FF1108-1CWLA ID:KZPG72035</t>
        </is>
      </c>
      <c r="D179" s="31" t="n">
        <v>220</v>
      </c>
      <c r="E179" s="31" t="n">
        <v>220</v>
      </c>
      <c r="F179" s="29" t="inlineStr">
        <is>
          <t>55%</t>
        </is>
      </c>
      <c r="G179" s="32" t="inlineStr">
        <is>
          <t>ver no ML</t>
        </is>
      </c>
    </row>
    <row r="180">
      <c r="A180" s="33" t="n">
        <v>170</v>
      </c>
      <c r="B180" s="33" t="n">
        <v>1</v>
      </c>
      <c r="C180" s="34" t="inlineStr">
        <is>
          <t>SUPORTE PARA CELULAR HOHEM ISTEADY MOBILE ID:DSHR80033 - S/N:M5B1</t>
        </is>
      </c>
      <c r="D180" s="35" t="n">
        <v>220</v>
      </c>
      <c r="E180" s="35" t="n">
        <v>220</v>
      </c>
      <c r="F180" s="33" t="inlineStr">
        <is>
          <t>65%</t>
        </is>
      </c>
      <c r="G180" s="32" t="inlineStr">
        <is>
          <t>ver no ML</t>
        </is>
      </c>
    </row>
    <row r="181">
      <c r="A181" s="29" t="n">
        <v>171</v>
      </c>
      <c r="B181" s="29" t="n">
        <v>1</v>
      </c>
      <c r="C181" s="30" t="inlineStr">
        <is>
          <t>MODULADOR FM MODULDAOR ISDB-T OV935436855BR</t>
        </is>
      </c>
      <c r="D181" s="31" t="n">
        <v>150</v>
      </c>
      <c r="E181" s="31" t="n">
        <v>150</v>
      </c>
      <c r="F181" s="29" t="inlineStr">
        <is>
          <t>45%</t>
        </is>
      </c>
      <c r="G181" s="32" t="inlineStr">
        <is>
          <t>ver no ML</t>
        </is>
      </c>
    </row>
    <row r="182">
      <c r="A182" s="33" t="n">
        <v>172</v>
      </c>
      <c r="B182" s="33" t="n">
        <v>1</v>
      </c>
      <c r="C182" s="34" t="inlineStr">
        <is>
          <t>SMARTWATCH (RELOG.INTLG.) HAYLOU RS5 S.N. LS1923QW431508317</t>
        </is>
      </c>
      <c r="D182" s="35" t="n">
        <v>130</v>
      </c>
      <c r="E182" s="35" t="n">
        <v>130</v>
      </c>
      <c r="F182" s="33" t="inlineStr">
        <is>
          <t>65%</t>
        </is>
      </c>
      <c r="G182" s="32" t="inlineStr">
        <is>
          <t>ver no ML</t>
        </is>
      </c>
    </row>
    <row r="183">
      <c r="A183" s="29" t="n">
        <v>173</v>
      </c>
      <c r="B183" s="29" t="n">
        <v>1</v>
      </c>
      <c r="C183" s="30" t="inlineStr">
        <is>
          <t>DRONE RADIOCONTROLADO LYZRC ID:HKKH03343 SEM N/S</t>
        </is>
      </c>
      <c r="D183" s="31" t="n">
        <v>120</v>
      </c>
      <c r="E183" s="31" t="n">
        <v>120</v>
      </c>
      <c r="F183" s="29" t="inlineStr">
        <is>
          <t>48%</t>
        </is>
      </c>
      <c r="G183" s="32" t="inlineStr">
        <is>
          <t>ver no ML</t>
        </is>
      </c>
    </row>
    <row r="184">
      <c r="A184" s="33" t="n">
        <v>174</v>
      </c>
      <c r="B184" s="33" t="n">
        <v>1</v>
      </c>
      <c r="C184" s="34" t="inlineStr">
        <is>
          <t>SMARTWATCH (RELOG.INTLG.) WEARFIT PRO SERIES 8 HW8 MAX - PULSEIRA MAGNETICA ID:RTDN14696</t>
        </is>
      </c>
      <c r="D184" s="35" t="n">
        <v>60</v>
      </c>
      <c r="E184" s="35" t="n">
        <v>60</v>
      </c>
      <c r="F184" s="33" t="inlineStr">
        <is>
          <t>50%</t>
        </is>
      </c>
      <c r="G184" s="32" t="inlineStr">
        <is>
          <t>ver no ML</t>
        </is>
      </c>
    </row>
    <row r="185">
      <c r="A185" s="29" t="n">
        <v>175</v>
      </c>
      <c r="B185" s="29" t="n">
        <v>1</v>
      </c>
      <c r="C185" s="30" t="inlineStr">
        <is>
          <t>SMARTWATCH (RELOG.INTLG.) GL08 SMART WATCH</t>
        </is>
      </c>
      <c r="D185" s="31" t="n">
        <v>45</v>
      </c>
      <c r="E185" s="31" t="n">
        <v>45</v>
      </c>
      <c r="F185" s="29" t="inlineStr">
        <is>
          <t>65%</t>
        </is>
      </c>
      <c r="G185" s="32" t="inlineStr">
        <is>
          <t>ver no ML</t>
        </is>
      </c>
    </row>
    <row r="186">
      <c r="A186" s="33" t="n">
        <v>176</v>
      </c>
      <c r="B186" s="33" t="n">
        <v>1</v>
      </c>
      <c r="C186" s="34" t="inlineStr">
        <is>
          <t>SMARTWATCH (RELOG.INTLG.) HIWATCH PLUS GL09 - PULSEIRA MAGNETICA ID:TGDI78101</t>
        </is>
      </c>
      <c r="D186" s="35" t="n">
        <v>45</v>
      </c>
      <c r="E186" s="35" t="n">
        <v>45</v>
      </c>
      <c r="F186" s="33" t="inlineStr">
        <is>
          <t>65%</t>
        </is>
      </c>
      <c r="G186" s="32" t="inlineStr">
        <is>
          <t>ver no ML</t>
        </is>
      </c>
    </row>
    <row r="187">
      <c r="C187" s="26" t="inlineStr">
        <is>
          <t>VALOR DE MERCADO TOTAL</t>
        </is>
      </c>
      <c r="D187" s="27" t="inlineStr"/>
      <c r="E187" s="28">
        <f>SUM(E11:E186)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  <hyperlink xmlns:r="http://schemas.openxmlformats.org/officeDocument/2006/relationships" ref="G90" r:id="rId80"/>
    <hyperlink xmlns:r="http://schemas.openxmlformats.org/officeDocument/2006/relationships" ref="G91" r:id="rId81"/>
    <hyperlink xmlns:r="http://schemas.openxmlformats.org/officeDocument/2006/relationships" ref="G92" r:id="rId82"/>
    <hyperlink xmlns:r="http://schemas.openxmlformats.org/officeDocument/2006/relationships" ref="G93" r:id="rId83"/>
    <hyperlink xmlns:r="http://schemas.openxmlformats.org/officeDocument/2006/relationships" ref="G94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  <hyperlink xmlns:r="http://schemas.openxmlformats.org/officeDocument/2006/relationships" ref="G109" r:id="rId99"/>
    <hyperlink xmlns:r="http://schemas.openxmlformats.org/officeDocument/2006/relationships" ref="G110" r:id="rId100"/>
    <hyperlink xmlns:r="http://schemas.openxmlformats.org/officeDocument/2006/relationships" ref="G111" r:id="rId101"/>
    <hyperlink xmlns:r="http://schemas.openxmlformats.org/officeDocument/2006/relationships" ref="G112" r:id="rId102"/>
    <hyperlink xmlns:r="http://schemas.openxmlformats.org/officeDocument/2006/relationships" ref="G113" r:id="rId103"/>
    <hyperlink xmlns:r="http://schemas.openxmlformats.org/officeDocument/2006/relationships" ref="G114" r:id="rId104"/>
    <hyperlink xmlns:r="http://schemas.openxmlformats.org/officeDocument/2006/relationships" ref="G115" r:id="rId105"/>
    <hyperlink xmlns:r="http://schemas.openxmlformats.org/officeDocument/2006/relationships" ref="G116" r:id="rId106"/>
    <hyperlink xmlns:r="http://schemas.openxmlformats.org/officeDocument/2006/relationships" ref="G117" r:id="rId107"/>
    <hyperlink xmlns:r="http://schemas.openxmlformats.org/officeDocument/2006/relationships" ref="G118" r:id="rId108"/>
    <hyperlink xmlns:r="http://schemas.openxmlformats.org/officeDocument/2006/relationships" ref="G119" r:id="rId109"/>
    <hyperlink xmlns:r="http://schemas.openxmlformats.org/officeDocument/2006/relationships" ref="G120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4" r:id="rId134"/>
    <hyperlink xmlns:r="http://schemas.openxmlformats.org/officeDocument/2006/relationships" ref="G145" r:id="rId135"/>
    <hyperlink xmlns:r="http://schemas.openxmlformats.org/officeDocument/2006/relationships" ref="G146" r:id="rId136"/>
    <hyperlink xmlns:r="http://schemas.openxmlformats.org/officeDocument/2006/relationships" ref="G147" r:id="rId137"/>
    <hyperlink xmlns:r="http://schemas.openxmlformats.org/officeDocument/2006/relationships" ref="G148" r:id="rId138"/>
    <hyperlink xmlns:r="http://schemas.openxmlformats.org/officeDocument/2006/relationships" ref="G149" r:id="rId139"/>
    <hyperlink xmlns:r="http://schemas.openxmlformats.org/officeDocument/2006/relationships" ref="G150" r:id="rId140"/>
    <hyperlink xmlns:r="http://schemas.openxmlformats.org/officeDocument/2006/relationships" ref="G151" r:id="rId141"/>
    <hyperlink xmlns:r="http://schemas.openxmlformats.org/officeDocument/2006/relationships" ref="G152" r:id="rId142"/>
    <hyperlink xmlns:r="http://schemas.openxmlformats.org/officeDocument/2006/relationships" ref="G153" r:id="rId143"/>
    <hyperlink xmlns:r="http://schemas.openxmlformats.org/officeDocument/2006/relationships" ref="G154" r:id="rId144"/>
    <hyperlink xmlns:r="http://schemas.openxmlformats.org/officeDocument/2006/relationships" ref="G155" r:id="rId145"/>
    <hyperlink xmlns:r="http://schemas.openxmlformats.org/officeDocument/2006/relationships" ref="G156" r:id="rId146"/>
    <hyperlink xmlns:r="http://schemas.openxmlformats.org/officeDocument/2006/relationships" ref="G157" r:id="rId147"/>
    <hyperlink xmlns:r="http://schemas.openxmlformats.org/officeDocument/2006/relationships" ref="G158" r:id="rId148"/>
    <hyperlink xmlns:r="http://schemas.openxmlformats.org/officeDocument/2006/relationships" ref="G159" r:id="rId149"/>
    <hyperlink xmlns:r="http://schemas.openxmlformats.org/officeDocument/2006/relationships" ref="G160" r:id="rId150"/>
    <hyperlink xmlns:r="http://schemas.openxmlformats.org/officeDocument/2006/relationships" ref="G161" r:id="rId151"/>
    <hyperlink xmlns:r="http://schemas.openxmlformats.org/officeDocument/2006/relationships" ref="G162" r:id="rId152"/>
    <hyperlink xmlns:r="http://schemas.openxmlformats.org/officeDocument/2006/relationships" ref="G163" r:id="rId153"/>
    <hyperlink xmlns:r="http://schemas.openxmlformats.org/officeDocument/2006/relationships" ref="G164" r:id="rId154"/>
    <hyperlink xmlns:r="http://schemas.openxmlformats.org/officeDocument/2006/relationships" ref="G165" r:id="rId155"/>
    <hyperlink xmlns:r="http://schemas.openxmlformats.org/officeDocument/2006/relationships" ref="G166" r:id="rId156"/>
    <hyperlink xmlns:r="http://schemas.openxmlformats.org/officeDocument/2006/relationships" ref="G167" r:id="rId157"/>
    <hyperlink xmlns:r="http://schemas.openxmlformats.org/officeDocument/2006/relationships" ref="G168" r:id="rId158"/>
    <hyperlink xmlns:r="http://schemas.openxmlformats.org/officeDocument/2006/relationships" ref="G169" r:id="rId159"/>
    <hyperlink xmlns:r="http://schemas.openxmlformats.org/officeDocument/2006/relationships" ref="G170" r:id="rId160"/>
    <hyperlink xmlns:r="http://schemas.openxmlformats.org/officeDocument/2006/relationships" ref="G171" r:id="rId161"/>
    <hyperlink xmlns:r="http://schemas.openxmlformats.org/officeDocument/2006/relationships" ref="G172" r:id="rId162"/>
    <hyperlink xmlns:r="http://schemas.openxmlformats.org/officeDocument/2006/relationships" ref="G173" r:id="rId163"/>
    <hyperlink xmlns:r="http://schemas.openxmlformats.org/officeDocument/2006/relationships" ref="G174" r:id="rId164"/>
    <hyperlink xmlns:r="http://schemas.openxmlformats.org/officeDocument/2006/relationships" ref="G175" r:id="rId165"/>
    <hyperlink xmlns:r="http://schemas.openxmlformats.org/officeDocument/2006/relationships" ref="G176" r:id="rId166"/>
    <hyperlink xmlns:r="http://schemas.openxmlformats.org/officeDocument/2006/relationships" ref="G177" r:id="rId167"/>
    <hyperlink xmlns:r="http://schemas.openxmlformats.org/officeDocument/2006/relationships" ref="G178" r:id="rId168"/>
    <hyperlink xmlns:r="http://schemas.openxmlformats.org/officeDocument/2006/relationships" ref="G179" r:id="rId169"/>
    <hyperlink xmlns:r="http://schemas.openxmlformats.org/officeDocument/2006/relationships" ref="G180" r:id="rId170"/>
    <hyperlink xmlns:r="http://schemas.openxmlformats.org/officeDocument/2006/relationships" ref="G181" r:id="rId171"/>
    <hyperlink xmlns:r="http://schemas.openxmlformats.org/officeDocument/2006/relationships" ref="G182" r:id="rId172"/>
    <hyperlink xmlns:r="http://schemas.openxmlformats.org/officeDocument/2006/relationships" ref="G183" r:id="rId173"/>
    <hyperlink xmlns:r="http://schemas.openxmlformats.org/officeDocument/2006/relationships" ref="G184" r:id="rId174"/>
    <hyperlink xmlns:r="http://schemas.openxmlformats.org/officeDocument/2006/relationships" ref="G185" r:id="rId175"/>
    <hyperlink xmlns:r="http://schemas.openxmlformats.org/officeDocument/2006/relationships" ref="G186" r:id="rId17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117 — BICICLETA/ACESSÓRIO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27790</v>
      </c>
    </row>
    <row r="5">
      <c r="A5" s="16" t="inlineStr">
        <is>
          <t>Valor de mercado (itens)</t>
        </is>
      </c>
      <c r="C5" s="18" t="n">
        <v>33000</v>
      </c>
    </row>
    <row r="6">
      <c r="A6" s="16" t="inlineStr">
        <is>
          <t>LANCE mínimo (conservador)</t>
        </is>
      </c>
      <c r="C6" s="19" t="n">
        <v>11550</v>
      </c>
    </row>
    <row r="7">
      <c r="A7" s="16" t="inlineStr">
        <is>
          <t>LANCE ideal</t>
        </is>
      </c>
      <c r="C7" s="19" t="n">
        <v>15015</v>
      </c>
    </row>
    <row r="8">
      <c r="A8" s="16" t="inlineStr">
        <is>
          <t>LANCE máximo (agressivo)</t>
        </is>
      </c>
      <c r="C8" s="20" t="n">
        <v>19635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15</v>
      </c>
      <c r="C11" s="30" t="inlineStr">
        <is>
          <t>PATINETE ELETRICO HAWK HW01 ID:WXVN18482 SEM S/N</t>
        </is>
      </c>
      <c r="D11" s="31" t="n">
        <v>900</v>
      </c>
      <c r="E11" s="31" t="n">
        <v>13500</v>
      </c>
      <c r="F11" s="29" t="inlineStr">
        <is>
          <t>70%</t>
        </is>
      </c>
      <c r="G11" s="32" t="inlineStr">
        <is>
          <t>ver no ML</t>
        </is>
      </c>
    </row>
    <row r="12">
      <c r="A12" s="33" t="n">
        <v>2</v>
      </c>
      <c r="B12" s="33" t="n">
        <v>7</v>
      </c>
      <c r="C12" s="34" t="inlineStr">
        <is>
          <t>PATINETE ELETRICO HAWK HW01PRO ID:CMPE54343 SEM S/N</t>
        </is>
      </c>
      <c r="D12" s="35" t="n">
        <v>1000</v>
      </c>
      <c r="E12" s="35" t="n">
        <v>7000</v>
      </c>
      <c r="F12" s="33" t="inlineStr">
        <is>
          <t>65%</t>
        </is>
      </c>
      <c r="G12" s="32" t="inlineStr">
        <is>
          <t>ver no ML</t>
        </is>
      </c>
    </row>
    <row r="13">
      <c r="A13" s="29" t="n">
        <v>3</v>
      </c>
      <c r="B13" s="29" t="n">
        <v>5</v>
      </c>
      <c r="C13" s="30" t="inlineStr">
        <is>
          <t>PATINETE ELETRICO WEHAWK SSM HW01 ID:PRAS07681</t>
        </is>
      </c>
      <c r="D13" s="31" t="n">
        <v>900</v>
      </c>
      <c r="E13" s="31" t="n">
        <v>4500</v>
      </c>
      <c r="F13" s="29" t="inlineStr">
        <is>
          <t>70%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ARTIGO ESPORTIVO MAGENE T300 42640009217</t>
        </is>
      </c>
      <c r="D14" s="35" t="n">
        <v>3000</v>
      </c>
      <c r="E14" s="35" t="n">
        <v>3000</v>
      </c>
      <c r="F14" s="33" t="inlineStr">
        <is>
          <t>62%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PATINETE ELETRICO NINEBOT KICKSCOOTER MAX G30P ID 42638312477</t>
        </is>
      </c>
      <c r="D15" s="31" t="n">
        <v>2000</v>
      </c>
      <c r="E15" s="31" t="n">
        <v>2000</v>
      </c>
      <c r="F15" s="29" t="inlineStr">
        <is>
          <t>60%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PATINETE ELETRICO TOMATE MPE-1030 ID 43275737726</t>
        </is>
      </c>
      <c r="D16" s="35" t="n">
        <v>1100</v>
      </c>
      <c r="E16" s="35" t="n">
        <v>1100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PATINETE ELETRICO TOMATE MPE-2130 ID 43285776889</t>
        </is>
      </c>
      <c r="D17" s="31" t="n">
        <v>1000</v>
      </c>
      <c r="E17" s="31" t="n">
        <v>1000</v>
      </c>
      <c r="F17" s="29" t="inlineStr">
        <is>
          <t>62%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SCOOTER ELETRICO I-ROLLER-D</t>
        </is>
      </c>
      <c r="D18" s="35" t="n">
        <v>450</v>
      </c>
      <c r="E18" s="35" t="n">
        <v>450</v>
      </c>
      <c r="F18" s="33" t="inlineStr">
        <is>
          <t>38%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HOVERBOARD INTERBRAS DRIFT E- TRICYCLE 8</t>
        </is>
      </c>
      <c r="D19" s="31" t="n">
        <v>450</v>
      </c>
      <c r="E19" s="31" t="n">
        <v>450</v>
      </c>
      <c r="F19" s="29" t="inlineStr">
        <is>
          <t>55%</t>
        </is>
      </c>
      <c r="G19" s="32" t="inlineStr">
        <is>
          <t>ver no ML</t>
        </is>
      </c>
    </row>
    <row r="20">
      <c r="C20" s="26" t="inlineStr">
        <is>
          <t>VALOR DE MERCADO TOTAL</t>
        </is>
      </c>
      <c r="D20" s="27" t="inlineStr"/>
      <c r="E20" s="28">
        <f>SUM(E11:E19)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118 — MÉDICO/ODONTO/HOSPITALAR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63490</v>
      </c>
    </row>
    <row r="5">
      <c r="A5" s="16" t="inlineStr">
        <is>
          <t>Valor de mercado (itens)</t>
        </is>
      </c>
      <c r="C5" s="18" t="n">
        <v>86390</v>
      </c>
    </row>
    <row r="6">
      <c r="A6" s="16" t="inlineStr">
        <is>
          <t>LANCE mínimo (conservador)</t>
        </is>
      </c>
      <c r="C6" s="19" t="n">
        <v>30236</v>
      </c>
    </row>
    <row r="7">
      <c r="A7" s="16" t="inlineStr">
        <is>
          <t>LANCE ideal</t>
        </is>
      </c>
      <c r="C7" s="19" t="n">
        <v>39307</v>
      </c>
    </row>
    <row r="8">
      <c r="A8" s="16" t="inlineStr">
        <is>
          <t>LANCE máximo (agressivo)</t>
        </is>
      </c>
      <c r="C8" s="20" t="n">
        <v>51402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5</v>
      </c>
      <c r="C11" s="30" t="inlineStr">
        <is>
          <t>APARELHO OFTALMOLOGICO AUTO REFRATOR</t>
        </is>
      </c>
      <c r="D11" s="31" t="n">
        <v>6000</v>
      </c>
      <c r="E11" s="31" t="n">
        <v>30000</v>
      </c>
      <c r="F11" s="29" t="inlineStr">
        <is>
          <t>55%</t>
        </is>
      </c>
      <c r="G11" s="32" t="inlineStr">
        <is>
          <t>ver no ML</t>
        </is>
      </c>
    </row>
    <row r="12">
      <c r="A12" s="33" t="n">
        <v>2</v>
      </c>
      <c r="B12" s="33" t="n">
        <v>50</v>
      </c>
      <c r="C12" s="34" t="inlineStr">
        <is>
          <t>ESTETOSCOPIO LITTMANN CLASSIC III</t>
        </is>
      </c>
      <c r="D12" s="35" t="n">
        <v>450</v>
      </c>
      <c r="E12" s="35" t="n">
        <v>22500</v>
      </c>
      <c r="F12" s="33" t="inlineStr">
        <is>
          <t>70%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ULTRASSOM BUTTERFLY IQ</t>
        </is>
      </c>
      <c r="D13" s="31" t="n">
        <v>12000</v>
      </c>
      <c r="E13" s="31" t="n">
        <v>12000</v>
      </c>
      <c r="F13" s="29" t="inlineStr">
        <is>
          <t>50%</t>
        </is>
      </c>
      <c r="G13" s="32" t="inlineStr">
        <is>
          <t>ver no ML</t>
        </is>
      </c>
    </row>
    <row r="14">
      <c r="A14" s="33" t="n">
        <v>4</v>
      </c>
      <c r="B14" s="33" t="n">
        <v>5</v>
      </c>
      <c r="C14" s="34" t="inlineStr">
        <is>
          <t>BAFOMETRO (ETILOMETRO) CONTEC SPIROMETER SP80B ID:PSEO67919 SEM S/N</t>
        </is>
      </c>
      <c r="D14" s="35" t="n">
        <v>850</v>
      </c>
      <c r="E14" s="35" t="n">
        <v>4250</v>
      </c>
      <c r="F14" s="33" t="inlineStr">
        <is>
          <t>70%</t>
        </is>
      </c>
      <c r="G14" s="32" t="inlineStr">
        <is>
          <t>ver no ML</t>
        </is>
      </c>
    </row>
    <row r="15">
      <c r="A15" s="29" t="n">
        <v>5</v>
      </c>
      <c r="B15" s="29" t="n">
        <v>6</v>
      </c>
      <c r="C15" s="30" t="inlineStr">
        <is>
          <t>BAFOMETRO (ETILOMETRO) CONTEC SPIROMETER SP80B ID:KMXR75249 SEM S/N</t>
        </is>
      </c>
      <c r="D15" s="31" t="n">
        <v>700</v>
      </c>
      <c r="E15" s="31" t="n">
        <v>4200</v>
      </c>
      <c r="F15" s="29" t="inlineStr">
        <is>
          <t>63%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APARELHO MEDICO RAIO X DENTAL Z-HF20 OV719251469BR</t>
        </is>
      </c>
      <c r="D16" s="35" t="n">
        <v>4000</v>
      </c>
      <c r="E16" s="35" t="n">
        <v>4000</v>
      </c>
      <c r="F16" s="33" t="inlineStr">
        <is>
          <t>45%</t>
        </is>
      </c>
      <c r="G16" s="32" t="inlineStr">
        <is>
          <t>ver no ML</t>
        </is>
      </c>
    </row>
    <row r="17">
      <c r="A17" s="29" t="n">
        <v>7</v>
      </c>
      <c r="B17" s="29" t="n">
        <v>10</v>
      </c>
      <c r="C17" s="30" t="inlineStr">
        <is>
          <t>INSTRUMENTO MEDICO SOFIDERM 20ML</t>
        </is>
      </c>
      <c r="D17" s="31" t="n">
        <v>150</v>
      </c>
      <c r="E17" s="31" t="n">
        <v>1500</v>
      </c>
      <c r="F17" s="29" t="inlineStr">
        <is>
          <t>40%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APARELHO MEDICO CONTEC SP80B - ESPIROMETRO ID:PSEO67919 - S/N:23070200157</t>
        </is>
      </c>
      <c r="D18" s="35" t="n">
        <v>1000</v>
      </c>
      <c r="E18" s="35" t="n">
        <v>1000</v>
      </c>
      <c r="F18" s="33" t="inlineStr">
        <is>
          <t>70%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APARELHO MEDICO CONTEC SPIROMETER - SP80B ID:PSEO67919</t>
        </is>
      </c>
      <c r="D19" s="31" t="n">
        <v>1000</v>
      </c>
      <c r="E19" s="31" t="n">
        <v>1000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OSCILOSCOPIO FNIRSI 1013D ID:OQNF39639</t>
        </is>
      </c>
      <c r="D20" s="35" t="n">
        <v>950</v>
      </c>
      <c r="E20" s="35" t="n">
        <v>950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LUVA ROBOTICA ORTOPEDICA PORTABLE HAND TRAINER - ML 115A ID:OXPL86397</t>
        </is>
      </c>
      <c r="D21" s="31" t="n">
        <v>600</v>
      </c>
      <c r="E21" s="31" t="n">
        <v>600</v>
      </c>
      <c r="F21" s="29" t="inlineStr">
        <is>
          <t>45%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ESTETOSCOPIO 3M KITTMANN CLASSIC III</t>
        </is>
      </c>
      <c r="D22" s="35" t="n">
        <v>520</v>
      </c>
      <c r="E22" s="35" t="n">
        <v>520</v>
      </c>
      <c r="F22" s="33" t="inlineStr">
        <is>
          <t>72%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ESTETOSCOPIO 3M LITTMANN CLASSIC III</t>
        </is>
      </c>
      <c r="D23" s="31" t="n">
        <v>520</v>
      </c>
      <c r="E23" s="31" t="n">
        <v>520</v>
      </c>
      <c r="F23" s="29" t="inlineStr">
        <is>
          <t>72%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OSCILOSCOPIO HANTEK 1008C ID:DTCO16554 - S/N:S;NCCN2336005081226</t>
        </is>
      </c>
      <c r="D24" s="35" t="n">
        <v>500</v>
      </c>
      <c r="E24" s="35" t="n">
        <v>500</v>
      </c>
      <c r="F24" s="33" t="inlineStr">
        <is>
          <t>72%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OSCILOSCOPIO AUTOMOTIVO - HANTEK 1008C ID:CFZR99525 - S/N:CN2335005080216</t>
        </is>
      </c>
      <c r="D25" s="31" t="n">
        <v>500</v>
      </c>
      <c r="E25" s="31" t="n">
        <v>500</v>
      </c>
      <c r="F25" s="29" t="inlineStr">
        <is>
          <t>72%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MONITOR DE RITMO CARDIACO SENSOR OPTICO DE FREQUENCIA POLAR -VERITY SENSE ID:XKLV69815</t>
        </is>
      </c>
      <c r="D26" s="35" t="n">
        <v>480</v>
      </c>
      <c r="E26" s="35" t="n">
        <v>480</v>
      </c>
      <c r="F26" s="33" t="inlineStr">
        <is>
          <t>75%</t>
        </is>
      </c>
      <c r="G26" s="32" t="inlineStr">
        <is>
          <t>ver no ML</t>
        </is>
      </c>
    </row>
    <row r="27">
      <c r="A27" s="29" t="n">
        <v>17</v>
      </c>
      <c r="B27" s="29" t="n">
        <v>2</v>
      </c>
      <c r="C27" s="30" t="inlineStr">
        <is>
          <t>INSTRUMENTO MEDICO REGENBOGEN ETREBELLE 200MG PREENCHIMENTO FACIAL/LABIAL</t>
        </is>
      </c>
      <c r="D27" s="31" t="n">
        <v>150</v>
      </c>
      <c r="E27" s="31" t="n">
        <v>300</v>
      </c>
      <c r="F27" s="29" t="inlineStr">
        <is>
          <t>35%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MICROSCOPIO PORTABLE LCD MICROSCOPE - G1200 ID:QMAS69014 SEM S/N</t>
        </is>
      </c>
      <c r="D28" s="35" t="n">
        <v>300</v>
      </c>
      <c r="E28" s="35" t="n">
        <v>300</v>
      </c>
      <c r="F28" s="33" t="inlineStr">
        <is>
          <t>50%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APARELHO MEDICO ULTRASSOM RU-638 BEAUTY EQUIPAMENT ID:YFAB41714 SEM S/N</t>
        </is>
      </c>
      <c r="D29" s="31" t="n">
        <v>250</v>
      </c>
      <c r="E29" s="31" t="n">
        <v>250</v>
      </c>
      <c r="F29" s="29" t="inlineStr">
        <is>
          <t>55%</t>
        </is>
      </c>
      <c r="G29" s="32" t="inlineStr">
        <is>
          <t>ver no ML</t>
        </is>
      </c>
    </row>
    <row r="30">
      <c r="A30" s="33" t="n">
        <v>20</v>
      </c>
      <c r="B30" s="33" t="n">
        <v>11</v>
      </c>
      <c r="C30" s="34" t="inlineStr">
        <is>
          <t>INSTRUMENTO MEDICO Y2 SKIN LINE LIFT COG THREAD</t>
        </is>
      </c>
      <c r="D30" s="35" t="n">
        <v>20</v>
      </c>
      <c r="E30" s="35" t="n">
        <v>220</v>
      </c>
      <c r="F30" s="33" t="inlineStr">
        <is>
          <t>45%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TERMOMETRO UNI-T PRO UNI260B N.S. ATI0224022997</t>
        </is>
      </c>
      <c r="D31" s="31" t="n">
        <v>150</v>
      </c>
      <c r="E31" s="31" t="n">
        <v>150</v>
      </c>
      <c r="F31" s="29" t="inlineStr">
        <is>
          <t>45%</t>
        </is>
      </c>
      <c r="G31" s="32" t="inlineStr">
        <is>
          <t>ver no ML</t>
        </is>
      </c>
    </row>
    <row r="32">
      <c r="A32" s="33" t="n">
        <v>22</v>
      </c>
      <c r="B32" s="33" t="n">
        <v>2</v>
      </c>
      <c r="C32" s="34" t="inlineStr">
        <is>
          <t>TERMOMETRO MESTEK IR03B</t>
        </is>
      </c>
      <c r="D32" s="35" t="n">
        <v>70</v>
      </c>
      <c r="E32" s="35" t="n">
        <v>140</v>
      </c>
      <c r="F32" s="33" t="inlineStr">
        <is>
          <t>60%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MICROSCOPIO LED LIGHT - YIZHAN - ACO ARTICULADO ID:RZLG76627</t>
        </is>
      </c>
      <c r="D33" s="31" t="n">
        <v>120</v>
      </c>
      <c r="E33" s="31" t="n">
        <v>120</v>
      </c>
      <c r="F33" s="29" t="inlineStr">
        <is>
          <t>45%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MONITOR DE RITMO CARDIACO XOSS X2</t>
        </is>
      </c>
      <c r="D34" s="35" t="n">
        <v>90</v>
      </c>
      <c r="E34" s="35" t="n">
        <v>90</v>
      </c>
      <c r="F34" s="33" t="inlineStr">
        <is>
          <t>70%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MICROSCOPIO DIGITAL MICROSCOPE</t>
        </is>
      </c>
      <c r="D35" s="31" t="n">
        <v>80</v>
      </c>
      <c r="E35" s="31" t="n">
        <v>80</v>
      </c>
      <c r="F35" s="29" t="inlineStr">
        <is>
          <t>45%</t>
        </is>
      </c>
      <c r="G35" s="32" t="inlineStr">
        <is>
          <t>ver no ML</t>
        </is>
      </c>
    </row>
    <row r="36">
      <c r="A36" s="33" t="n">
        <v>26</v>
      </c>
      <c r="B36" s="33" t="n">
        <v>1</v>
      </c>
      <c r="C36" s="34" t="inlineStr">
        <is>
          <t>APARELHO MEDICO WD-638 ID:YFAB41714 SEM N/S</t>
        </is>
      </c>
      <c r="D36" s="35" t="n">
        <v>80</v>
      </c>
      <c r="E36" s="35" t="n">
        <v>80</v>
      </c>
      <c r="F36" s="33" t="inlineStr">
        <is>
          <t>40%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APARELHO MEDICO WD-628 ID:YFAB41714 SEM N/S</t>
        </is>
      </c>
      <c r="D37" s="31" t="n">
        <v>80</v>
      </c>
      <c r="E37" s="31" t="n">
        <v>80</v>
      </c>
      <c r="F37" s="29" t="inlineStr">
        <is>
          <t>40%</t>
        </is>
      </c>
      <c r="G37" s="32" t="inlineStr">
        <is>
          <t>ver no ML</t>
        </is>
      </c>
    </row>
    <row r="38">
      <c r="A38" s="33" t="n">
        <v>28</v>
      </c>
      <c r="B38" s="33" t="n">
        <v>12</v>
      </c>
      <c r="C38" s="34" t="inlineStr">
        <is>
          <t>INSTRUMENTO MEDICO Y2 SKIN LINE LIFT MONO THREAD</t>
        </is>
      </c>
      <c r="D38" s="35" t="n">
        <v>5</v>
      </c>
      <c r="E38" s="35" t="n">
        <v>60</v>
      </c>
      <c r="F38" s="33" t="inlineStr">
        <is>
          <t>45%</t>
        </is>
      </c>
      <c r="G38" s="32" t="inlineStr">
        <is>
          <t>ver no ML</t>
        </is>
      </c>
    </row>
    <row r="39">
      <c r="C39" s="26" t="inlineStr">
        <is>
          <t>VALOR DE MERCADO TOTAL</t>
        </is>
      </c>
      <c r="D39" s="27" t="inlineStr"/>
      <c r="E39" s="28">
        <f>SUM(E11:E38)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119 — PEÇA/ACESSÓRIO PARA VEÍCULO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43590</v>
      </c>
    </row>
    <row r="5">
      <c r="A5" s="16" t="inlineStr">
        <is>
          <t>Valor de mercado (itens)</t>
        </is>
      </c>
      <c r="C5" s="18" t="n">
        <v>58500</v>
      </c>
    </row>
    <row r="6">
      <c r="A6" s="16" t="inlineStr">
        <is>
          <t>LANCE mínimo (conservador)</t>
        </is>
      </c>
      <c r="C6" s="19" t="n">
        <v>20475</v>
      </c>
    </row>
    <row r="7">
      <c r="A7" s="16" t="inlineStr">
        <is>
          <t>LANCE ideal</t>
        </is>
      </c>
      <c r="C7" s="19" t="n">
        <v>26618</v>
      </c>
    </row>
    <row r="8">
      <c r="A8" s="16" t="inlineStr">
        <is>
          <t>LANCE máximo (agressivo)</t>
        </is>
      </c>
      <c r="C8" s="20" t="n">
        <v>34808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SCANNER LAUNCH X-431 PRO ELITE S.N. 987940006942 - SCANNER AUTOMOTIVO</t>
        </is>
      </c>
      <c r="D11" s="31" t="n">
        <v>4000</v>
      </c>
      <c r="E11" s="31" t="n">
        <v>4000</v>
      </c>
      <c r="F11" s="29" t="inlineStr">
        <is>
          <t>70%</t>
        </is>
      </c>
      <c r="G11" s="32" t="inlineStr">
        <is>
          <t>ver no ML</t>
        </is>
      </c>
    </row>
    <row r="12">
      <c r="A12" s="33" t="n">
        <v>2</v>
      </c>
      <c r="B12" s="33" t="n">
        <v>13</v>
      </c>
      <c r="C12" s="34" t="inlineStr">
        <is>
          <t>CENTRAL MULTMIDIA P/CARRO ANDROID CAR</t>
        </is>
      </c>
      <c r="D12" s="35" t="n">
        <v>300</v>
      </c>
      <c r="E12" s="35" t="n">
        <v>3900</v>
      </c>
      <c r="F12" s="33" t="inlineStr">
        <is>
          <t>52%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MOTOR ELETRICO EMBARCACAO MARURI FT54DR</t>
        </is>
      </c>
      <c r="D13" s="31" t="n">
        <v>3200</v>
      </c>
      <c r="E13" s="31" t="n">
        <v>3200</v>
      </c>
      <c r="F13" s="29" t="inlineStr">
        <is>
          <t>65%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MOTOR DE EMBARCACAO MARURI FT54DR 54 LBS</t>
        </is>
      </c>
      <c r="D14" s="35" t="n">
        <v>2400</v>
      </c>
      <c r="E14" s="35" t="n">
        <v>2400</v>
      </c>
      <c r="F14" s="33" t="inlineStr">
        <is>
          <t>75%</t>
        </is>
      </c>
      <c r="G14" s="32" t="inlineStr">
        <is>
          <t>ver no ML</t>
        </is>
      </c>
    </row>
    <row r="15">
      <c r="A15" s="29" t="n">
        <v>5</v>
      </c>
      <c r="B15" s="29" t="n">
        <v>8</v>
      </c>
      <c r="C15" s="30" t="inlineStr">
        <is>
          <t>CENTRAL MULTMIDIA P/CARRO ADAK PLAY-7232</t>
        </is>
      </c>
      <c r="D15" s="31" t="n">
        <v>280</v>
      </c>
      <c r="E15" s="31" t="n">
        <v>2240</v>
      </c>
      <c r="F15" s="29" t="inlineStr">
        <is>
          <t>60%</t>
        </is>
      </c>
      <c r="G15" s="32" t="inlineStr">
        <is>
          <t>ver no ML</t>
        </is>
      </c>
    </row>
    <row r="16">
      <c r="A16" s="33" t="n">
        <v>6</v>
      </c>
      <c r="B16" s="33" t="n">
        <v>10</v>
      </c>
      <c r="C16" s="34" t="inlineStr">
        <is>
          <t>COMPRESSOR DE AR XIAOMI MI COMPRESSOR 1S</t>
        </is>
      </c>
      <c r="D16" s="35" t="n">
        <v>220</v>
      </c>
      <c r="E16" s="35" t="n">
        <v>2200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SCANNER XTOOL X100PRO2 N.S. PRO2-021075 - AUTOMOTIVO</t>
        </is>
      </c>
      <c r="D17" s="31" t="n">
        <v>1600</v>
      </c>
      <c r="E17" s="31" t="n">
        <v>1600</v>
      </c>
      <c r="F17" s="29" t="inlineStr">
        <is>
          <t>70%</t>
        </is>
      </c>
      <c r="G17" s="32" t="inlineStr">
        <is>
          <t>ver no ML</t>
        </is>
      </c>
    </row>
    <row r="18">
      <c r="A18" s="33" t="n">
        <v>8</v>
      </c>
      <c r="B18" s="33" t="n">
        <v>8</v>
      </c>
      <c r="C18" s="34" t="inlineStr">
        <is>
          <t>PARTES E PECAS VEICULOS JOGO DE BRONZINA DE BIELA VW AMAROK 2.0 DIESEL</t>
        </is>
      </c>
      <c r="D18" s="35" t="n">
        <v>200</v>
      </c>
      <c r="E18" s="35" t="n">
        <v>1600</v>
      </c>
      <c r="F18" s="33" t="inlineStr">
        <is>
          <t>45%</t>
        </is>
      </c>
      <c r="G18" s="32" t="inlineStr">
        <is>
          <t>ver no ML</t>
        </is>
      </c>
    </row>
    <row r="19">
      <c r="A19" s="29" t="n">
        <v>9</v>
      </c>
      <c r="B19" s="29" t="n">
        <v>5</v>
      </c>
      <c r="C19" s="30" t="inlineStr">
        <is>
          <t>CENTRAL MULTMIDIA P/CARRO ADAK PLAY-7232</t>
        </is>
      </c>
      <c r="D19" s="31" t="n">
        <v>280</v>
      </c>
      <c r="E19" s="31" t="n">
        <v>1400</v>
      </c>
      <c r="F19" s="29" t="inlineStr">
        <is>
          <t>60%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GPS GARMIN EDGE 830 NS:5VY198825</t>
        </is>
      </c>
      <c r="D20" s="35" t="n">
        <v>1400</v>
      </c>
      <c r="E20" s="35" t="n">
        <v>1400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GPS GARMIN EDGE 830 NS:5VY198791</t>
        </is>
      </c>
      <c r="D21" s="31" t="n">
        <v>1400</v>
      </c>
      <c r="E21" s="31" t="n">
        <v>1400</v>
      </c>
      <c r="F21" s="29" t="inlineStr">
        <is>
          <t>70%</t>
        </is>
      </c>
      <c r="G21" s="32" t="inlineStr">
        <is>
          <t>ver no ML</t>
        </is>
      </c>
    </row>
    <row r="22">
      <c r="A22" s="33" t="n">
        <v>12</v>
      </c>
      <c r="B22" s="33" t="n">
        <v>7</v>
      </c>
      <c r="C22" s="34" t="inlineStr">
        <is>
          <t>CENTRAL MULTMIDIA P/CARRO S/MARCA</t>
        </is>
      </c>
      <c r="D22" s="35" t="n">
        <v>200</v>
      </c>
      <c r="E22" s="35" t="n">
        <v>1400</v>
      </c>
      <c r="F22" s="33" t="inlineStr">
        <is>
          <t>30%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SONAR GARMIN STRIKER VIVID NS:6SQ113282</t>
        </is>
      </c>
      <c r="D23" s="31" t="n">
        <v>1400</v>
      </c>
      <c r="E23" s="31" t="n">
        <v>1400</v>
      </c>
      <c r="F23" s="29" t="inlineStr">
        <is>
          <t>65%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SONAR GARMIN STRIKER VIVID NS:6SQ113279</t>
        </is>
      </c>
      <c r="D24" s="35" t="n">
        <v>1400</v>
      </c>
      <c r="E24" s="35" t="n">
        <v>1400</v>
      </c>
      <c r="F24" s="33" t="inlineStr">
        <is>
          <t>65%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GPS GARMIN EDGE 830 NS:5VY198813</t>
        </is>
      </c>
      <c r="D25" s="31" t="n">
        <v>1300</v>
      </c>
      <c r="E25" s="31" t="n">
        <v>1300</v>
      </c>
      <c r="F25" s="29" t="inlineStr">
        <is>
          <t>75%</t>
        </is>
      </c>
      <c r="G25" s="32" t="inlineStr">
        <is>
          <t>ver no ML</t>
        </is>
      </c>
    </row>
    <row r="26">
      <c r="A26" s="33" t="n">
        <v>16</v>
      </c>
      <c r="B26" s="33" t="n">
        <v>10</v>
      </c>
      <c r="C26" s="34" t="inlineStr">
        <is>
          <t>ACESS DE VEICULO VELHICLE BLACKBOX DVR FULL HD 1080 ESPELHO COM CAMERA DE RE - KIT</t>
        </is>
      </c>
      <c r="D26" s="35" t="n">
        <v>120</v>
      </c>
      <c r="E26" s="35" t="n">
        <v>1200</v>
      </c>
      <c r="F26" s="33" t="inlineStr">
        <is>
          <t>60%</t>
        </is>
      </c>
      <c r="G26" s="32" t="inlineStr">
        <is>
          <t>ver no ML</t>
        </is>
      </c>
    </row>
    <row r="27">
      <c r="A27" s="29" t="n">
        <v>17</v>
      </c>
      <c r="B27" s="29" t="n">
        <v>4</v>
      </c>
      <c r="C27" s="30" t="inlineStr">
        <is>
          <t>CENTRAL MULTMIDIA P/CARRO ADAK PLAY-7232</t>
        </is>
      </c>
      <c r="D27" s="31" t="n">
        <v>280</v>
      </c>
      <c r="E27" s="31" t="n">
        <v>1120</v>
      </c>
      <c r="F27" s="29" t="inlineStr">
        <is>
          <t>60%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CENTRAL MULTMIDIA P/CARRO PIONEER AVH-Z5280TV ID:BQYS76517 - S/N:BBPB032879BR</t>
        </is>
      </c>
      <c r="D28" s="35" t="n">
        <v>1100</v>
      </c>
      <c r="E28" s="35" t="n">
        <v>1100</v>
      </c>
      <c r="F28" s="33" t="inlineStr">
        <is>
          <t>65%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SONAR GARMIN STRIKER VIVID NS:6SQ113284</t>
        </is>
      </c>
      <c r="D29" s="31" t="n">
        <v>1100</v>
      </c>
      <c r="E29" s="31" t="n">
        <v>1100</v>
      </c>
      <c r="F29" s="29" t="inlineStr">
        <is>
          <t>65%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MOTOR DE EMBARCACAO MARINE PHANTOM 44 12V</t>
        </is>
      </c>
      <c r="D30" s="35" t="n">
        <v>1000</v>
      </c>
      <c r="E30" s="35" t="n">
        <v>1000</v>
      </c>
      <c r="F30" s="33" t="inlineStr">
        <is>
          <t>70%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CARREGADOR DE BATERIA UTRAI JS-5 4 IN 1 AUXILIAR DE PARTIDA COM COMPRESSOR DE AR</t>
        </is>
      </c>
      <c r="D31" s="31" t="n">
        <v>950</v>
      </c>
      <c r="E31" s="31" t="n">
        <v>950</v>
      </c>
      <c r="F31" s="29" t="inlineStr">
        <is>
          <t>75%</t>
        </is>
      </c>
      <c r="G31" s="32" t="inlineStr">
        <is>
          <t>ver no ML</t>
        </is>
      </c>
    </row>
    <row r="32">
      <c r="A32" s="33" t="n">
        <v>22</v>
      </c>
      <c r="B32" s="33" t="n">
        <v>1</v>
      </c>
      <c r="C32" s="34" t="inlineStr">
        <is>
          <t>SCANNER THINKCAR THINKSCAN PLUS S7 N.S. 988970728819 - AUTOMOTIVO</t>
        </is>
      </c>
      <c r="D32" s="35" t="n">
        <v>900</v>
      </c>
      <c r="E32" s="35" t="n">
        <v>900</v>
      </c>
      <c r="F32" s="33" t="inlineStr">
        <is>
          <t>70%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SCANNER FOXWELL NT650 ELITE ID:DDFL40905 - S/N:650E3EF003631</t>
        </is>
      </c>
      <c r="D33" s="31" t="n">
        <v>900</v>
      </c>
      <c r="E33" s="31" t="n">
        <v>900</v>
      </c>
      <c r="F33" s="29" t="inlineStr">
        <is>
          <t>80%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SCANNER FOXWELL NT650 ELITE ID:DDFL40905 - S/N:650E33A003107</t>
        </is>
      </c>
      <c r="D34" s="35" t="n">
        <v>900</v>
      </c>
      <c r="E34" s="35" t="n">
        <v>900</v>
      </c>
      <c r="F34" s="33" t="inlineStr">
        <is>
          <t>80%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SCANNER FOXWELL NT650 ELITE ID:DDFL40905 - S/N:650E314002377</t>
        </is>
      </c>
      <c r="D35" s="31" t="n">
        <v>900</v>
      </c>
      <c r="E35" s="31" t="n">
        <v>900</v>
      </c>
      <c r="F35" s="29" t="inlineStr">
        <is>
          <t>80%</t>
        </is>
      </c>
      <c r="G35" s="32" t="inlineStr">
        <is>
          <t>ver no ML</t>
        </is>
      </c>
    </row>
    <row r="36">
      <c r="A36" s="33" t="n">
        <v>26</v>
      </c>
      <c r="B36" s="33" t="n">
        <v>2</v>
      </c>
      <c r="C36" s="34" t="inlineStr">
        <is>
          <t>CENTRAL MULTMIDIA P/CARRO MOTOR ONE M1 HYUNDAI HB-20</t>
        </is>
      </c>
      <c r="D36" s="35" t="n">
        <v>450</v>
      </c>
      <c r="E36" s="35" t="n">
        <v>900</v>
      </c>
      <c r="F36" s="33" t="inlineStr">
        <is>
          <t>55%</t>
        </is>
      </c>
      <c r="G36" s="32" t="inlineStr">
        <is>
          <t>ver no ML</t>
        </is>
      </c>
    </row>
    <row r="37">
      <c r="A37" s="29" t="n">
        <v>27</v>
      </c>
      <c r="B37" s="29" t="n">
        <v>2</v>
      </c>
      <c r="C37" s="30" t="inlineStr">
        <is>
          <t>SCANNER FOXWELL NT360 PLUS ID:ZZFU40663</t>
        </is>
      </c>
      <c r="D37" s="31" t="n">
        <v>400</v>
      </c>
      <c r="E37" s="31" t="n">
        <v>800</v>
      </c>
      <c r="F37" s="29" t="inlineStr">
        <is>
          <t>45%</t>
        </is>
      </c>
      <c r="G37" s="32" t="inlineStr">
        <is>
          <t>ver no ML</t>
        </is>
      </c>
    </row>
    <row r="38">
      <c r="A38" s="33" t="n">
        <v>28</v>
      </c>
      <c r="B38" s="33" t="n">
        <v>4</v>
      </c>
      <c r="C38" s="34" t="inlineStr">
        <is>
          <t>RODA DE VEICULO RCX T5080570410MK USADA</t>
        </is>
      </c>
      <c r="D38" s="35" t="n">
        <v>200</v>
      </c>
      <c r="E38" s="35" t="n">
        <v>800</v>
      </c>
      <c r="F38" s="33" t="inlineStr">
        <is>
          <t>40%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SCANNER VIDENT 702 PRO N.S. 7020725017788</t>
        </is>
      </c>
      <c r="D39" s="31" t="n">
        <v>700</v>
      </c>
      <c r="E39" s="31" t="n">
        <v>700</v>
      </c>
      <c r="F39" s="29" t="inlineStr">
        <is>
          <t>55%</t>
        </is>
      </c>
      <c r="G39" s="32" t="inlineStr">
        <is>
          <t>ver no ML</t>
        </is>
      </c>
    </row>
    <row r="40">
      <c r="A40" s="33" t="n">
        <v>30</v>
      </c>
      <c r="B40" s="33" t="n">
        <v>1</v>
      </c>
      <c r="C40" s="34" t="inlineStr">
        <is>
          <t>SCANNER AUTOMOTIVO - FOXWELL NT630 PLUS ID:FUWM75443 - S/N:630P3C1007558</t>
        </is>
      </c>
      <c r="D40" s="35" t="n">
        <v>700</v>
      </c>
      <c r="E40" s="35" t="n">
        <v>700</v>
      </c>
      <c r="F40" s="33" t="inlineStr">
        <is>
          <t>65%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GPS GARMIN EDGE 530 NS:5VV293612</t>
        </is>
      </c>
      <c r="D41" s="31" t="n">
        <v>700</v>
      </c>
      <c r="E41" s="31" t="n">
        <v>700</v>
      </c>
      <c r="F41" s="29" t="inlineStr">
        <is>
          <t>65%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GPS GARMIN EDGE 530 NS:5VV293912</t>
        </is>
      </c>
      <c r="D42" s="35" t="n">
        <v>700</v>
      </c>
      <c r="E42" s="35" t="n">
        <v>700</v>
      </c>
      <c r="F42" s="33" t="inlineStr">
        <is>
          <t>65%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SCANNER THINKCAR THINKDIAG 2 N.S. 988430964611 - AUTOMOTIVO</t>
        </is>
      </c>
      <c r="D43" s="31" t="n">
        <v>650</v>
      </c>
      <c r="E43" s="31" t="n">
        <v>650</v>
      </c>
      <c r="F43" s="29" t="inlineStr">
        <is>
          <t>60%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SCANNER TRINKCAR THINKDIAG 2 N.S. 988430963246 - VEICULAR</t>
        </is>
      </c>
      <c r="D44" s="35" t="n">
        <v>650</v>
      </c>
      <c r="E44" s="35" t="n">
        <v>650</v>
      </c>
      <c r="F44" s="33" t="inlineStr">
        <is>
          <t>60%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SCANNER THINKCAR THINKDIAG 2 PARA VEICULO</t>
        </is>
      </c>
      <c r="D45" s="31" t="n">
        <v>650</v>
      </c>
      <c r="E45" s="31" t="n">
        <v>650</v>
      </c>
      <c r="F45" s="29" t="inlineStr">
        <is>
          <t>60%</t>
        </is>
      </c>
      <c r="G45" s="32" t="inlineStr">
        <is>
          <t>ver no ML</t>
        </is>
      </c>
    </row>
    <row r="46">
      <c r="A46" s="33" t="n">
        <v>36</v>
      </c>
      <c r="B46" s="33" t="n">
        <v>1</v>
      </c>
      <c r="C46" s="34" t="inlineStr">
        <is>
          <t>SCANNER THINKCAR THINKDIAG 2 PARA VEICULO</t>
        </is>
      </c>
      <c r="D46" s="35" t="n">
        <v>650</v>
      </c>
      <c r="E46" s="35" t="n">
        <v>650</v>
      </c>
      <c r="F46" s="33" t="inlineStr">
        <is>
          <t>60%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SCANNER XHINKCAR THINKCAN PLUS N.S. 988970728245 - VEICULAR</t>
        </is>
      </c>
      <c r="D47" s="31" t="n">
        <v>550</v>
      </c>
      <c r="E47" s="31" t="n">
        <v>550</v>
      </c>
      <c r="F47" s="29" t="inlineStr">
        <is>
          <t>60%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SCANNER XHINKCAR THINKCAN PLUS N.S. 988970728924 - VEICULAR</t>
        </is>
      </c>
      <c r="D48" s="35" t="n">
        <v>550</v>
      </c>
      <c r="E48" s="35" t="n">
        <v>550</v>
      </c>
      <c r="F48" s="33" t="inlineStr">
        <is>
          <t>60%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VOLANTE DE CARRO VOLANTE DO MOTOR CHEVROLET COLORADO 2015 NOVO</t>
        </is>
      </c>
      <c r="D49" s="31" t="n">
        <v>550</v>
      </c>
      <c r="E49" s="31" t="n">
        <v>550</v>
      </c>
      <c r="F49" s="29" t="inlineStr">
        <is>
          <t>45%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SONAR GARMIN GT21 NS:5F4521098</t>
        </is>
      </c>
      <c r="D50" s="35" t="n">
        <v>550</v>
      </c>
      <c r="E50" s="35" t="n">
        <v>550</v>
      </c>
      <c r="F50" s="33" t="inlineStr">
        <is>
          <t>65%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SONAR GARMIN GT21 NS:5F4521131</t>
        </is>
      </c>
      <c r="D51" s="31" t="n">
        <v>550</v>
      </c>
      <c r="E51" s="31" t="n">
        <v>550</v>
      </c>
      <c r="F51" s="29" t="inlineStr">
        <is>
          <t>65%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SONAR GARMIN GT21 NS:5F4521154</t>
        </is>
      </c>
      <c r="D52" s="35" t="n">
        <v>550</v>
      </c>
      <c r="E52" s="35" t="n">
        <v>550</v>
      </c>
      <c r="F52" s="33" t="inlineStr">
        <is>
          <t>65%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OSCILOSCOPIO HANTEK 1008C - AUTOMOTIVO N.S. CN2336005081091</t>
        </is>
      </c>
      <c r="D53" s="31" t="n">
        <v>500</v>
      </c>
      <c r="E53" s="31" t="n">
        <v>500</v>
      </c>
      <c r="F53" s="29" t="inlineStr">
        <is>
          <t>72%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GPS SONAR GARMIN STRIKER</t>
        </is>
      </c>
      <c r="D54" s="35" t="n">
        <v>450</v>
      </c>
      <c r="E54" s="35" t="n">
        <v>450</v>
      </c>
      <c r="F54" s="33" t="inlineStr">
        <is>
          <t>55%</t>
        </is>
      </c>
      <c r="G54" s="32" t="inlineStr">
        <is>
          <t>ver no ML</t>
        </is>
      </c>
    </row>
    <row r="55">
      <c r="A55" s="29" t="n">
        <v>45</v>
      </c>
      <c r="B55" s="29" t="n">
        <v>1</v>
      </c>
      <c r="C55" s="30" t="inlineStr">
        <is>
          <t>SCANNER FOXWELL NT630 PLUS ID:ZZFU40663 - S/N:630P30F004520</t>
        </is>
      </c>
      <c r="D55" s="31" t="n">
        <v>420</v>
      </c>
      <c r="E55" s="31" t="n">
        <v>420</v>
      </c>
      <c r="F55" s="29" t="inlineStr">
        <is>
          <t>65%</t>
        </is>
      </c>
      <c r="G55" s="32" t="inlineStr">
        <is>
          <t>ver no ML</t>
        </is>
      </c>
    </row>
    <row r="56">
      <c r="A56" s="33" t="n">
        <v>46</v>
      </c>
      <c r="B56" s="33" t="n">
        <v>1</v>
      </c>
      <c r="C56" s="34" t="inlineStr">
        <is>
          <t>SCANNER FOXWELL NT630 PLUS ID:ZZFU40663 - S/N:630P3CD007842</t>
        </is>
      </c>
      <c r="D56" s="35" t="n">
        <v>420</v>
      </c>
      <c r="E56" s="35" t="n">
        <v>420</v>
      </c>
      <c r="F56" s="33" t="inlineStr">
        <is>
          <t>65%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SCANNER FOXWELL NT630 PLUS ID:ZZFU40663 - S/N:630P31A004469</t>
        </is>
      </c>
      <c r="D57" s="31" t="n">
        <v>420</v>
      </c>
      <c r="E57" s="31" t="n">
        <v>420</v>
      </c>
      <c r="F57" s="29" t="inlineStr">
        <is>
          <t>65%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SCANNER FOXWELL NT630 PLUS ID:ZZFU40663 - S/N:630P37E001184</t>
        </is>
      </c>
      <c r="D58" s="35" t="n">
        <v>420</v>
      </c>
      <c r="E58" s="35" t="n">
        <v>420</v>
      </c>
      <c r="F58" s="33" t="inlineStr">
        <is>
          <t>65%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CENTRAL MULTMIDIA P/CARRO ADAK STD</t>
        </is>
      </c>
      <c r="D59" s="31" t="n">
        <v>400</v>
      </c>
      <c r="E59" s="31" t="n">
        <v>400</v>
      </c>
      <c r="F59" s="29" t="inlineStr">
        <is>
          <t>65%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CENTRAL MULTMIDIA P/CARRO ADAK STD</t>
        </is>
      </c>
      <c r="D60" s="35" t="n">
        <v>400</v>
      </c>
      <c r="E60" s="35" t="n">
        <v>400</v>
      </c>
      <c r="F60" s="33" t="inlineStr">
        <is>
          <t>65%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SCANNER THINKCAR THINKDIAG MINI N.S. 989149737429 - AUTOMOTIVO</t>
        </is>
      </c>
      <c r="D61" s="31" t="n">
        <v>300</v>
      </c>
      <c r="E61" s="31" t="n">
        <v>300</v>
      </c>
      <c r="F61" s="29" t="inlineStr">
        <is>
          <t>70%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SCANNER THINKDIAG MINI TKD02 N.S. 989149746291 - AUTOMOTIVO</t>
        </is>
      </c>
      <c r="D62" s="35" t="n">
        <v>300</v>
      </c>
      <c r="E62" s="35" t="n">
        <v>300</v>
      </c>
      <c r="F62" s="33" t="inlineStr">
        <is>
          <t>70%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PARTES E PECAS MOTOR BARC GARMIN TRANSDUCER</t>
        </is>
      </c>
      <c r="D63" s="31" t="n">
        <v>300</v>
      </c>
      <c r="E63" s="31" t="n">
        <v>300</v>
      </c>
      <c r="F63" s="29" t="inlineStr">
        <is>
          <t>45%</t>
        </is>
      </c>
      <c r="G63" s="32" t="inlineStr">
        <is>
          <t>ver no ML</t>
        </is>
      </c>
    </row>
    <row r="64">
      <c r="A64" s="33" t="n">
        <v>54</v>
      </c>
      <c r="B64" s="33" t="n">
        <v>2</v>
      </c>
      <c r="C64" s="34" t="inlineStr">
        <is>
          <t>AMORTECEDOR BESTA GS 2.7 98 DT</t>
        </is>
      </c>
      <c r="D64" s="35" t="n">
        <v>150</v>
      </c>
      <c r="E64" s="35" t="n">
        <v>300</v>
      </c>
      <c r="F64" s="33" t="inlineStr">
        <is>
          <t>58%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SCANNER EYOYO EY-024 QQ021405607BR</t>
        </is>
      </c>
      <c r="D65" s="31" t="n">
        <v>250</v>
      </c>
      <c r="E65" s="31" t="n">
        <v>250</v>
      </c>
      <c r="F65" s="29" t="inlineStr">
        <is>
          <t>70%</t>
        </is>
      </c>
      <c r="G65" s="32" t="inlineStr">
        <is>
          <t>ver no ML</t>
        </is>
      </c>
    </row>
    <row r="66">
      <c r="A66" s="33" t="n">
        <v>56</v>
      </c>
      <c r="B66" s="33" t="n">
        <v>1</v>
      </c>
      <c r="C66" s="34" t="inlineStr">
        <is>
          <t>CENTRAL MULTMIDIA P/CARRO ANDROID PLAYER</t>
        </is>
      </c>
      <c r="D66" s="35" t="n">
        <v>230</v>
      </c>
      <c r="E66" s="35" t="n">
        <v>230</v>
      </c>
      <c r="F66" s="33" t="inlineStr">
        <is>
          <t>50%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CENTRAL MULTMIDIA P/CARRO</t>
        </is>
      </c>
      <c r="D67" s="31" t="n">
        <v>220</v>
      </c>
      <c r="E67" s="31" t="n">
        <v>220</v>
      </c>
      <c r="F67" s="29" t="inlineStr">
        <is>
          <t>50%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CENTRAL MULTMIDIA P/CARRO SOAK 909T</t>
        </is>
      </c>
      <c r="D68" s="35" t="n">
        <v>220</v>
      </c>
      <c r="E68" s="35" t="n">
        <v>220</v>
      </c>
      <c r="F68" s="33" t="inlineStr">
        <is>
          <t>50%</t>
        </is>
      </c>
      <c r="G68" s="32" t="inlineStr">
        <is>
          <t>ver no ML</t>
        </is>
      </c>
    </row>
    <row r="69">
      <c r="A69" s="29" t="n">
        <v>59</v>
      </c>
      <c r="B69" s="29" t="n">
        <v>1</v>
      </c>
      <c r="C69" s="30" t="inlineStr">
        <is>
          <t>CENTRAL MUTIMIDIA ADAK PLAY</t>
        </is>
      </c>
      <c r="D69" s="31" t="n">
        <v>220</v>
      </c>
      <c r="E69" s="31" t="n">
        <v>220</v>
      </c>
      <c r="F69" s="29" t="inlineStr">
        <is>
          <t>50%</t>
        </is>
      </c>
      <c r="G69" s="32" t="inlineStr">
        <is>
          <t>ver no ML</t>
        </is>
      </c>
    </row>
    <row r="70">
      <c r="A70" s="33" t="n">
        <v>60</v>
      </c>
      <c r="B70" s="33" t="n">
        <v>1</v>
      </c>
      <c r="C70" s="34" t="inlineStr">
        <is>
          <t>BOMBA DE PORAO 3700GPH</t>
        </is>
      </c>
      <c r="D70" s="35" t="n">
        <v>200</v>
      </c>
      <c r="E70" s="35" t="n">
        <v>200</v>
      </c>
      <c r="F70" s="33" t="inlineStr">
        <is>
          <t>55%</t>
        </is>
      </c>
      <c r="G70" s="32" t="inlineStr">
        <is>
          <t>ver no ML</t>
        </is>
      </c>
    </row>
    <row r="71">
      <c r="A71" s="29" t="n">
        <v>61</v>
      </c>
      <c r="B71" s="29" t="n">
        <v>2</v>
      </c>
      <c r="C71" s="30" t="inlineStr">
        <is>
          <t>DISCO DE EMBREAGEM SACHS</t>
        </is>
      </c>
      <c r="D71" s="31" t="n">
        <v>90</v>
      </c>
      <c r="E71" s="31" t="n">
        <v>180</v>
      </c>
      <c r="F71" s="29" t="inlineStr">
        <is>
          <t>50%</t>
        </is>
      </c>
      <c r="G71" s="32" t="inlineStr">
        <is>
          <t>ver no ML</t>
        </is>
      </c>
    </row>
    <row r="72">
      <c r="A72" s="33" t="n">
        <v>62</v>
      </c>
      <c r="B72" s="33" t="n">
        <v>1</v>
      </c>
      <c r="C72" s="34" t="inlineStr">
        <is>
          <t>PARTES E PECAS VEICULOS GENUINE GM GR.0.724 KIT CORREIA DENTADA</t>
        </is>
      </c>
      <c r="D72" s="35" t="n">
        <v>120</v>
      </c>
      <c r="E72" s="35" t="n">
        <v>120</v>
      </c>
      <c r="F72" s="33" t="inlineStr">
        <is>
          <t>50%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FAROL DE VEICULO COROLLA PREMIO 2001 FOG LIGHT PAR</t>
        </is>
      </c>
      <c r="D73" s="31" t="n">
        <v>120</v>
      </c>
      <c r="E73" s="31" t="n">
        <v>120</v>
      </c>
      <c r="F73" s="29" t="inlineStr">
        <is>
          <t>50%</t>
        </is>
      </c>
      <c r="G73" s="32" t="inlineStr">
        <is>
          <t>ver no ML</t>
        </is>
      </c>
    </row>
    <row r="74">
      <c r="A74" s="22" t="n">
        <v>64</v>
      </c>
      <c r="B74" s="22" t="n">
        <v>1</v>
      </c>
      <c r="C74" s="23" t="inlineStr">
        <is>
          <t>PARTES E PECAS AUTOMOVEL PARABRISA TRASEIRO 4T8827631</t>
        </is>
      </c>
      <c r="D74" s="24" t="inlineStr">
        <is>
          <t>—</t>
        </is>
      </c>
      <c r="E74" s="24" t="inlineStr">
        <is>
          <t>—</t>
        </is>
      </c>
      <c r="F74" s="22" t="inlineStr">
        <is>
          <t>s/ preço</t>
        </is>
      </c>
      <c r="G74" s="25" t="inlineStr">
        <is>
          <t>ver no ML</t>
        </is>
      </c>
    </row>
    <row r="75">
      <c r="A75" s="22" t="n">
        <v>65</v>
      </c>
      <c r="B75" s="22" t="n">
        <v>1</v>
      </c>
      <c r="C75" s="23" t="inlineStr">
        <is>
          <t>CORREIAS HEIDELBERG</t>
        </is>
      </c>
      <c r="D75" s="24" t="inlineStr">
        <is>
          <t>—</t>
        </is>
      </c>
      <c r="E75" s="24" t="inlineStr">
        <is>
          <t>—</t>
        </is>
      </c>
      <c r="F75" s="22" t="inlineStr">
        <is>
          <t>s/ preço</t>
        </is>
      </c>
      <c r="G75" s="25" t="inlineStr">
        <is>
          <t>ver no ML</t>
        </is>
      </c>
    </row>
    <row r="76">
      <c r="A76" s="22" t="n">
        <v>66</v>
      </c>
      <c r="B76" s="22" t="n">
        <v>1</v>
      </c>
      <c r="C76" s="23" t="inlineStr">
        <is>
          <t>BLOCO COLMEIA RADIADOR DE OLEO</t>
        </is>
      </c>
      <c r="D76" s="24" t="inlineStr">
        <is>
          <t>—</t>
        </is>
      </c>
      <c r="E76" s="24" t="inlineStr">
        <is>
          <t>—</t>
        </is>
      </c>
      <c r="F76" s="22" t="inlineStr">
        <is>
          <t>s/ preço</t>
        </is>
      </c>
      <c r="G76" s="25" t="inlineStr">
        <is>
          <t>ver no ML</t>
        </is>
      </c>
    </row>
    <row r="77">
      <c r="A77" s="22" t="n">
        <v>67</v>
      </c>
      <c r="B77" s="22" t="n">
        <v>1</v>
      </c>
      <c r="C77" s="23" t="inlineStr">
        <is>
          <t>PARTES E PECAS VEICULOS CAPO MODIFICADO</t>
        </is>
      </c>
      <c r="D77" s="24" t="inlineStr">
        <is>
          <t>—</t>
        </is>
      </c>
      <c r="E77" s="24" t="inlineStr">
        <is>
          <t>—</t>
        </is>
      </c>
      <c r="F77" s="22" t="inlineStr">
        <is>
          <t>s/ preço</t>
        </is>
      </c>
      <c r="G77" s="25" t="inlineStr">
        <is>
          <t>ver no ML</t>
        </is>
      </c>
    </row>
    <row r="78">
      <c r="A78" s="22" t="n">
        <v>68</v>
      </c>
      <c r="B78" s="22" t="n">
        <v>1</v>
      </c>
      <c r="C78" s="23" t="inlineStr">
        <is>
          <t>PARTES E PECAS MOTOR BARC RADAR MARINHO NS:1006210500240</t>
        </is>
      </c>
      <c r="D78" s="24" t="inlineStr">
        <is>
          <t>—</t>
        </is>
      </c>
      <c r="E78" s="24" t="inlineStr">
        <is>
          <t>—</t>
        </is>
      </c>
      <c r="F78" s="22" t="inlineStr">
        <is>
          <t>s/ preço</t>
        </is>
      </c>
      <c r="G78" s="25" t="inlineStr">
        <is>
          <t>ver no ML</t>
        </is>
      </c>
    </row>
    <row r="79">
      <c r="A79" s="22" t="n">
        <v>69</v>
      </c>
      <c r="B79" s="22" t="n">
        <v>1</v>
      </c>
      <c r="C79" s="23" t="inlineStr">
        <is>
          <t>PARTES E PECAS DE MOTO RODA TRASEIRA COM PNEU E CAMARA DE AR</t>
        </is>
      </c>
      <c r="D79" s="24" t="inlineStr">
        <is>
          <t>—</t>
        </is>
      </c>
      <c r="E79" s="24" t="inlineStr">
        <is>
          <t>—</t>
        </is>
      </c>
      <c r="F79" s="22" t="inlineStr">
        <is>
          <t>s/ preço</t>
        </is>
      </c>
      <c r="G79" s="25" t="inlineStr">
        <is>
          <t>ver no ML</t>
        </is>
      </c>
    </row>
    <row r="80">
      <c r="A80" s="22" t="n">
        <v>70</v>
      </c>
      <c r="B80" s="22" t="n">
        <v>1</v>
      </c>
      <c r="C80" s="23" t="inlineStr">
        <is>
          <t>KIT MULTIMIDIA MOLDURA CENTRAL ELANTRA 2012/4</t>
        </is>
      </c>
      <c r="D80" s="24" t="inlineStr">
        <is>
          <t>—</t>
        </is>
      </c>
      <c r="E80" s="24" t="inlineStr">
        <is>
          <t>—</t>
        </is>
      </c>
      <c r="F80" s="22" t="inlineStr">
        <is>
          <t>s/ preço</t>
        </is>
      </c>
      <c r="G80" s="25" t="inlineStr">
        <is>
          <t>ver no ML</t>
        </is>
      </c>
    </row>
    <row r="81">
      <c r="A81" s="22" t="n">
        <v>71</v>
      </c>
      <c r="B81" s="22" t="n">
        <v>1</v>
      </c>
      <c r="C81" s="23" t="inlineStr">
        <is>
          <t>PARTES E PECAS VEICULOS JOGO DE BRONZINA BG 178 J STD-S</t>
        </is>
      </c>
      <c r="D81" s="24" t="inlineStr">
        <is>
          <t>—</t>
        </is>
      </c>
      <c r="E81" s="24" t="inlineStr">
        <is>
          <t>—</t>
        </is>
      </c>
      <c r="F81" s="22" t="inlineStr">
        <is>
          <t>s/ preço</t>
        </is>
      </c>
      <c r="G81" s="25" t="inlineStr">
        <is>
          <t>ver no ML</t>
        </is>
      </c>
    </row>
    <row r="82">
      <c r="A82" s="22" t="n">
        <v>72</v>
      </c>
      <c r="B82" s="22" t="n">
        <v>17</v>
      </c>
      <c r="C82" s="23" t="inlineStr">
        <is>
          <t>PARTES E PECAS AUTOMOVEL</t>
        </is>
      </c>
      <c r="D82" s="24" t="inlineStr">
        <is>
          <t>—</t>
        </is>
      </c>
      <c r="E82" s="24" t="inlineStr">
        <is>
          <t>—</t>
        </is>
      </c>
      <c r="F82" s="22" t="inlineStr">
        <is>
          <t>s/ preço</t>
        </is>
      </c>
      <c r="G82" s="25" t="inlineStr">
        <is>
          <t>ver no ML</t>
        </is>
      </c>
    </row>
    <row r="83">
      <c r="A83" s="22" t="n">
        <v>73</v>
      </c>
      <c r="B83" s="22" t="n">
        <v>1</v>
      </c>
      <c r="C83" s="23" t="inlineStr">
        <is>
          <t>PARTES E PECAS AUTOMOVEL P213 ROLAMENTO DE TRAVESSEIRO</t>
        </is>
      </c>
      <c r="D83" s="24" t="inlineStr">
        <is>
          <t>—</t>
        </is>
      </c>
      <c r="E83" s="24" t="inlineStr">
        <is>
          <t>—</t>
        </is>
      </c>
      <c r="F83" s="22" t="inlineStr">
        <is>
          <t>s/ preço</t>
        </is>
      </c>
      <c r="G83" s="25" t="inlineStr">
        <is>
          <t>ver no ML</t>
        </is>
      </c>
    </row>
    <row r="84">
      <c r="A84" s="22" t="n">
        <v>74</v>
      </c>
      <c r="B84" s="22" t="n">
        <v>2</v>
      </c>
      <c r="C84" s="23" t="inlineStr">
        <is>
          <t>PARTES E PECAS AUTOMOVEL AMORTECEDOR 42266408420</t>
        </is>
      </c>
      <c r="D84" s="24" t="inlineStr">
        <is>
          <t>—</t>
        </is>
      </c>
      <c r="E84" s="24" t="inlineStr">
        <is>
          <t>—</t>
        </is>
      </c>
      <c r="F84" s="22" t="inlineStr">
        <is>
          <t>s/ preço</t>
        </is>
      </c>
      <c r="G84" s="25" t="inlineStr">
        <is>
          <t>ver no ML</t>
        </is>
      </c>
    </row>
    <row r="85">
      <c r="A85" s="22" t="n">
        <v>75</v>
      </c>
      <c r="B85" s="22" t="n">
        <v>14</v>
      </c>
      <c r="C85" s="23" t="inlineStr">
        <is>
          <t>PARTES E PECAS VEICULOS OV382218668BR</t>
        </is>
      </c>
      <c r="D85" s="24" t="inlineStr">
        <is>
          <t>—</t>
        </is>
      </c>
      <c r="E85" s="24" t="inlineStr">
        <is>
          <t>—</t>
        </is>
      </c>
      <c r="F85" s="22" t="inlineStr">
        <is>
          <t>s/ preço</t>
        </is>
      </c>
      <c r="G85" s="25" t="inlineStr">
        <is>
          <t>ver no ML</t>
        </is>
      </c>
    </row>
    <row r="86">
      <c r="A86" s="22" t="n">
        <v>76</v>
      </c>
      <c r="B86" s="22" t="n">
        <v>4</v>
      </c>
      <c r="C86" s="23" t="inlineStr">
        <is>
          <t>PARTES E PECAS AUTOMOVEL PASTILHA DE FREIO OV379844199BR</t>
        </is>
      </c>
      <c r="D86" s="24" t="inlineStr">
        <is>
          <t>—</t>
        </is>
      </c>
      <c r="E86" s="24" t="inlineStr">
        <is>
          <t>—</t>
        </is>
      </c>
      <c r="F86" s="22" t="inlineStr">
        <is>
          <t>s/ preço</t>
        </is>
      </c>
      <c r="G86" s="25" t="inlineStr">
        <is>
          <t>ver no ML</t>
        </is>
      </c>
    </row>
    <row r="87">
      <c r="A87" s="22" t="n">
        <v>77</v>
      </c>
      <c r="B87" s="22" t="n">
        <v>1</v>
      </c>
      <c r="C87" s="23" t="inlineStr">
        <is>
          <t>PARTES E PECAS AUTOMOVEL JUNTA BALANCIM OV379844199BR</t>
        </is>
      </c>
      <c r="D87" s="24" t="inlineStr">
        <is>
          <t>—</t>
        </is>
      </c>
      <c r="E87" s="24" t="inlineStr">
        <is>
          <t>—</t>
        </is>
      </c>
      <c r="F87" s="22" t="inlineStr">
        <is>
          <t>s/ preço</t>
        </is>
      </c>
      <c r="G87" s="25" t="inlineStr">
        <is>
          <t>ver no ML</t>
        </is>
      </c>
    </row>
    <row r="88">
      <c r="A88" s="22" t="n">
        <v>78</v>
      </c>
      <c r="B88" s="22" t="n">
        <v>2</v>
      </c>
      <c r="C88" s="23" t="inlineStr">
        <is>
          <t>PARTES E PECAS VEICULOS KIT BATENTE E COIFA BMW</t>
        </is>
      </c>
      <c r="D88" s="24" t="inlineStr">
        <is>
          <t>—</t>
        </is>
      </c>
      <c r="E88" s="24" t="inlineStr">
        <is>
          <t>—</t>
        </is>
      </c>
      <c r="F88" s="22" t="inlineStr">
        <is>
          <t>s/ preço</t>
        </is>
      </c>
      <c r="G88" s="25" t="inlineStr">
        <is>
          <t>ver no ML</t>
        </is>
      </c>
    </row>
    <row r="89">
      <c r="A89" s="22" t="n">
        <v>79</v>
      </c>
      <c r="B89" s="22" t="n">
        <v>1</v>
      </c>
      <c r="C89" s="23" t="inlineStr">
        <is>
          <t>PARTES E PECAS AUTOMOVEL 42268651990</t>
        </is>
      </c>
      <c r="D89" s="24" t="inlineStr">
        <is>
          <t>—</t>
        </is>
      </c>
      <c r="E89" s="24" t="inlineStr">
        <is>
          <t>—</t>
        </is>
      </c>
      <c r="F89" s="22" t="inlineStr">
        <is>
          <t>s/ preço</t>
        </is>
      </c>
      <c r="G89" s="25" t="inlineStr">
        <is>
          <t>ver no ML</t>
        </is>
      </c>
    </row>
    <row r="90">
      <c r="A90" s="22" t="n">
        <v>80</v>
      </c>
      <c r="B90" s="22" t="n">
        <v>2</v>
      </c>
      <c r="C90" s="23" t="inlineStr">
        <is>
          <t>PARTES E PECAS VEICULOS BIELETA XTERRA LD DT</t>
        </is>
      </c>
      <c r="D90" s="24" t="inlineStr">
        <is>
          <t>—</t>
        </is>
      </c>
      <c r="E90" s="24" t="inlineStr">
        <is>
          <t>—</t>
        </is>
      </c>
      <c r="F90" s="22" t="inlineStr">
        <is>
          <t>s/ preço</t>
        </is>
      </c>
      <c r="G90" s="25" t="inlineStr">
        <is>
          <t>ver no ML</t>
        </is>
      </c>
    </row>
    <row r="91">
      <c r="A91" s="22" t="n">
        <v>81</v>
      </c>
      <c r="B91" s="22" t="n">
        <v>2</v>
      </c>
      <c r="C91" s="23" t="inlineStr">
        <is>
          <t>PARTES E PECAS VEICULOS COXIM AMORT. BMW</t>
        </is>
      </c>
      <c r="D91" s="24" t="inlineStr">
        <is>
          <t>—</t>
        </is>
      </c>
      <c r="E91" s="24" t="inlineStr">
        <is>
          <t>—</t>
        </is>
      </c>
      <c r="F91" s="22" t="inlineStr">
        <is>
          <t>s/ preço</t>
        </is>
      </c>
      <c r="G91" s="25" t="inlineStr">
        <is>
          <t>ver no ML</t>
        </is>
      </c>
    </row>
    <row r="92">
      <c r="A92" s="22" t="n">
        <v>82</v>
      </c>
      <c r="B92" s="22" t="n">
        <v>2</v>
      </c>
      <c r="C92" s="23" t="inlineStr">
        <is>
          <t>PARTES E PECAS VEICULOS BUCHA EST SEL 31MM DT</t>
        </is>
      </c>
      <c r="D92" s="24" t="inlineStr">
        <is>
          <t>—</t>
        </is>
      </c>
      <c r="E92" s="24" t="inlineStr">
        <is>
          <t>—</t>
        </is>
      </c>
      <c r="F92" s="22" t="inlineStr">
        <is>
          <t>s/ preço</t>
        </is>
      </c>
      <c r="G92" s="25" t="inlineStr">
        <is>
          <t>ver no ML</t>
        </is>
      </c>
    </row>
    <row r="93">
      <c r="A93" s="22" t="n">
        <v>83</v>
      </c>
      <c r="B93" s="22" t="n">
        <v>4</v>
      </c>
      <c r="C93" s="23" t="inlineStr">
        <is>
          <t>PARTES E PECAS AUTOMOVEL</t>
        </is>
      </c>
      <c r="D93" s="24" t="inlineStr">
        <is>
          <t>—</t>
        </is>
      </c>
      <c r="E93" s="24" t="inlineStr">
        <is>
          <t>—</t>
        </is>
      </c>
      <c r="F93" s="22" t="inlineStr">
        <is>
          <t>s/ preço</t>
        </is>
      </c>
      <c r="G93" s="25" t="inlineStr">
        <is>
          <t>ver no ML</t>
        </is>
      </c>
    </row>
    <row r="94">
      <c r="A94" s="22" t="n">
        <v>84</v>
      </c>
      <c r="B94" s="22" t="n">
        <v>1</v>
      </c>
      <c r="C94" s="23" t="inlineStr">
        <is>
          <t>PARTES E PECAS AUTOMOVEL PAINEL DIANTEIRO</t>
        </is>
      </c>
      <c r="D94" s="24" t="inlineStr">
        <is>
          <t>—</t>
        </is>
      </c>
      <c r="E94" s="24" t="inlineStr">
        <is>
          <t>—</t>
        </is>
      </c>
      <c r="F94" s="22" t="inlineStr">
        <is>
          <t>s/ preço</t>
        </is>
      </c>
      <c r="G94" s="25" t="inlineStr">
        <is>
          <t>ver no ML</t>
        </is>
      </c>
    </row>
    <row r="95">
      <c r="A95" s="22" t="n">
        <v>85</v>
      </c>
      <c r="B95" s="22" t="n">
        <v>1</v>
      </c>
      <c r="C95" s="23" t="inlineStr">
        <is>
          <t>AMORTECEDOR PAR</t>
        </is>
      </c>
      <c r="D95" s="24" t="inlineStr">
        <is>
          <t>—</t>
        </is>
      </c>
      <c r="E95" s="24" t="inlineStr">
        <is>
          <t>—</t>
        </is>
      </c>
      <c r="F95" s="22" t="inlineStr">
        <is>
          <t>s/ preço</t>
        </is>
      </c>
      <c r="G95" s="25" t="inlineStr">
        <is>
          <t>ver no ML</t>
        </is>
      </c>
    </row>
    <row r="96">
      <c r="A96" s="22" t="n">
        <v>86</v>
      </c>
      <c r="B96" s="22" t="n">
        <v>1</v>
      </c>
      <c r="C96" s="23" t="inlineStr">
        <is>
          <t>CORREIAS DE CAMINHAO 8PK2020</t>
        </is>
      </c>
      <c r="D96" s="24" t="inlineStr">
        <is>
          <t>—</t>
        </is>
      </c>
      <c r="E96" s="24" t="inlineStr">
        <is>
          <t>—</t>
        </is>
      </c>
      <c r="F96" s="22" t="inlineStr">
        <is>
          <t>s/ preço</t>
        </is>
      </c>
      <c r="G96" s="25" t="inlineStr">
        <is>
          <t>ver no ML</t>
        </is>
      </c>
    </row>
    <row r="97">
      <c r="A97" s="22" t="n">
        <v>87</v>
      </c>
      <c r="B97" s="22" t="n">
        <v>1</v>
      </c>
      <c r="C97" s="23" t="inlineStr">
        <is>
          <t>CORREIAS DE CAMINHAO GATES 8PK2225HD</t>
        </is>
      </c>
      <c r="D97" s="24" t="inlineStr">
        <is>
          <t>—</t>
        </is>
      </c>
      <c r="E97" s="24" t="inlineStr">
        <is>
          <t>—</t>
        </is>
      </c>
      <c r="F97" s="22" t="inlineStr">
        <is>
          <t>s/ preço</t>
        </is>
      </c>
      <c r="G97" s="25" t="inlineStr">
        <is>
          <t>ver no ML</t>
        </is>
      </c>
    </row>
    <row r="98">
      <c r="A98" s="22" t="n">
        <v>88</v>
      </c>
      <c r="B98" s="22" t="n">
        <v>1</v>
      </c>
      <c r="C98" s="23" t="inlineStr">
        <is>
          <t>PARTES E PECAS MOTOR BARC MARURI HELICE</t>
        </is>
      </c>
      <c r="D98" s="24" t="inlineStr">
        <is>
          <t>—</t>
        </is>
      </c>
      <c r="E98" s="24" t="inlineStr">
        <is>
          <t>—</t>
        </is>
      </c>
      <c r="F98" s="22" t="inlineStr">
        <is>
          <t>s/ preço</t>
        </is>
      </c>
      <c r="G98" s="25" t="inlineStr">
        <is>
          <t>ver no ML</t>
        </is>
      </c>
    </row>
    <row r="99">
      <c r="A99" s="22" t="n">
        <v>89</v>
      </c>
      <c r="B99" s="22" t="n">
        <v>1</v>
      </c>
      <c r="C99" s="23" t="inlineStr">
        <is>
          <t>PARTES E PECAS MOTOR BARC MARURI TROLLING MOTOR MOTOR</t>
        </is>
      </c>
      <c r="D99" s="24" t="inlineStr">
        <is>
          <t>—</t>
        </is>
      </c>
      <c r="E99" s="24" t="inlineStr">
        <is>
          <t>—</t>
        </is>
      </c>
      <c r="F99" s="22" t="inlineStr">
        <is>
          <t>s/ preço</t>
        </is>
      </c>
      <c r="G99" s="25" t="inlineStr">
        <is>
          <t>ver no ML</t>
        </is>
      </c>
    </row>
    <row r="100">
      <c r="A100" s="22" t="n">
        <v>90</v>
      </c>
      <c r="B100" s="22" t="n">
        <v>1</v>
      </c>
      <c r="C100" s="23" t="inlineStr">
        <is>
          <t>PARTES E PECAS MOTOR BARC MARURI HP8.601.050 PEDAL</t>
        </is>
      </c>
      <c r="D100" s="24" t="inlineStr">
        <is>
          <t>—</t>
        </is>
      </c>
      <c r="E100" s="24" t="inlineStr">
        <is>
          <t>—</t>
        </is>
      </c>
      <c r="F100" s="22" t="inlineStr">
        <is>
          <t>s/ preço</t>
        </is>
      </c>
      <c r="G100" s="25" t="inlineStr">
        <is>
          <t>ver no ML</t>
        </is>
      </c>
    </row>
    <row r="101">
      <c r="C101" s="26" t="inlineStr">
        <is>
          <t>VALOR DE MERCADO TOTAL</t>
        </is>
      </c>
      <c r="D101" s="27" t="inlineStr"/>
      <c r="E101" s="28">
        <f>SUM(E11:E100)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  <hyperlink xmlns:r="http://schemas.openxmlformats.org/officeDocument/2006/relationships" ref="G90" r:id="rId80"/>
    <hyperlink xmlns:r="http://schemas.openxmlformats.org/officeDocument/2006/relationships" ref="G91" r:id="rId81"/>
    <hyperlink xmlns:r="http://schemas.openxmlformats.org/officeDocument/2006/relationships" ref="G92" r:id="rId82"/>
    <hyperlink xmlns:r="http://schemas.openxmlformats.org/officeDocument/2006/relationships" ref="G93" r:id="rId83"/>
    <hyperlink xmlns:r="http://schemas.openxmlformats.org/officeDocument/2006/relationships" ref="G94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120 — UTENSÍLIO DOMÉSTICO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62900</v>
      </c>
    </row>
    <row r="5">
      <c r="A5" s="16" t="inlineStr">
        <is>
          <t>Valor de mercado (itens)</t>
        </is>
      </c>
      <c r="C5" s="18" t="n">
        <v>94100</v>
      </c>
    </row>
    <row r="6">
      <c r="A6" s="16" t="inlineStr">
        <is>
          <t>LANCE mínimo (conservador)</t>
        </is>
      </c>
      <c r="C6" s="19" t="n">
        <v>32935</v>
      </c>
    </row>
    <row r="7">
      <c r="A7" s="16" t="inlineStr">
        <is>
          <t>LANCE ideal</t>
        </is>
      </c>
      <c r="C7" s="19" t="n">
        <v>42816</v>
      </c>
    </row>
    <row r="8">
      <c r="A8" s="16" t="inlineStr">
        <is>
          <t>LANCE máximo (agressivo)</t>
        </is>
      </c>
      <c r="C8" s="20" t="n">
        <v>55990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MAQUINA GRAVACAO LASER CONTROLADORA CNC PAINEL MAQUIN CO2 RDC6445S N.S. RD402002035273 - COMPLETA COM ACESSORIOS</t>
        </is>
      </c>
      <c r="D11" s="31" t="n">
        <v>9000</v>
      </c>
      <c r="E11" s="31" t="n">
        <v>9000</v>
      </c>
      <c r="F11" s="29" t="inlineStr">
        <is>
          <t>35%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FERRAMENTA ELETRICA TBK 958A MAQUINA DE CORTE A LASER AUTOMATICA NS:2212045G</t>
        </is>
      </c>
      <c r="D12" s="35" t="n">
        <v>6000</v>
      </c>
      <c r="E12" s="35" t="n">
        <v>6000</v>
      </c>
      <c r="F12" s="33" t="inlineStr">
        <is>
          <t>55%</t>
        </is>
      </c>
      <c r="G12" s="32" t="inlineStr">
        <is>
          <t>ver no ML</t>
        </is>
      </c>
    </row>
    <row r="13">
      <c r="A13" s="29" t="n">
        <v>3</v>
      </c>
      <c r="B13" s="29" t="n">
        <v>8</v>
      </c>
      <c r="C13" s="30" t="inlineStr">
        <is>
          <t>MOEDOR DE CARNE BOTINI B09 ID:OIAX55131 SEM S/N</t>
        </is>
      </c>
      <c r="D13" s="31" t="n">
        <v>600</v>
      </c>
      <c r="E13" s="31" t="n">
        <v>4800</v>
      </c>
      <c r="F13" s="29" t="inlineStr">
        <is>
          <t>70%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ASPIRADOR DE PO XIAOMI ROBOT VACUUM X20 PLUS N.S. 54405/BFACWF4PQ60262</t>
        </is>
      </c>
      <c r="D14" s="35" t="n">
        <v>2800</v>
      </c>
      <c r="E14" s="35" t="n">
        <v>2800</v>
      </c>
      <c r="F14" s="33" t="inlineStr">
        <is>
          <t>65%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ASPIRADOR DE PO XIAOMI ROBOT VACUUM X20 PLUS N.S. 54405/BFACWF4R651860</t>
        </is>
      </c>
      <c r="D15" s="31" t="n">
        <v>2800</v>
      </c>
      <c r="E15" s="31" t="n">
        <v>2800</v>
      </c>
      <c r="F15" s="29" t="inlineStr">
        <is>
          <t>65%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ASPIRADOR DE PO XIAOMI ROBOT VACUUM X20 PLUS N.S. 54405/BFACWF4PQ60246</t>
        </is>
      </c>
      <c r="D16" s="35" t="n">
        <v>2800</v>
      </c>
      <c r="E16" s="35" t="n">
        <v>2800</v>
      </c>
      <c r="F16" s="33" t="inlineStr">
        <is>
          <t>50%</t>
        </is>
      </c>
      <c r="G16" s="32" t="inlineStr">
        <is>
          <t>ver no ML</t>
        </is>
      </c>
    </row>
    <row r="17">
      <c r="A17" s="29" t="n">
        <v>7</v>
      </c>
      <c r="B17" s="29" t="n">
        <v>4</v>
      </c>
      <c r="C17" s="30" t="inlineStr">
        <is>
          <t>FERRAMENTA MANUAL CLIPADEIRA HIDRAULICA CROYCE CONNECT - RC.500.410 ID:IDJD46935 SEM S/N</t>
        </is>
      </c>
      <c r="D17" s="31" t="n">
        <v>700</v>
      </c>
      <c r="E17" s="31" t="n">
        <v>2800</v>
      </c>
      <c r="F17" s="29" t="inlineStr">
        <is>
          <t>40%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FERRAMENTA ELETRONICA TUOLI TL168 NS:12345678</t>
        </is>
      </c>
      <c r="D18" s="35" t="n">
        <v>2500</v>
      </c>
      <c r="E18" s="35" t="n">
        <v>2500</v>
      </c>
      <c r="F18" s="33" t="inlineStr">
        <is>
          <t>60%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FERRAMENTA ELETRICA TUOLI TL-168 P/ CORTE DE PELICULAS HIDROGEL</t>
        </is>
      </c>
      <c r="D19" s="31" t="n">
        <v>2500</v>
      </c>
      <c r="E19" s="31" t="n">
        <v>2500</v>
      </c>
      <c r="F19" s="29" t="inlineStr">
        <is>
          <t>60%</t>
        </is>
      </c>
      <c r="G19" s="32" t="inlineStr">
        <is>
          <t>ver no ML</t>
        </is>
      </c>
    </row>
    <row r="20">
      <c r="A20" s="33" t="n">
        <v>10</v>
      </c>
      <c r="B20" s="33" t="n">
        <v>3</v>
      </c>
      <c r="C20" s="34" t="inlineStr">
        <is>
          <t>ESTACAO RETRABALHO SMD ATTEN ST862D</t>
        </is>
      </c>
      <c r="D20" s="35" t="n">
        <v>750</v>
      </c>
      <c r="E20" s="35" t="n">
        <v>2250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ASPIRADOR DE PO MI ROBOT VACUUM S10 PLUS N.S. 41722/BFACXF3ZN03652</t>
        </is>
      </c>
      <c r="D21" s="31" t="n">
        <v>2000</v>
      </c>
      <c r="E21" s="31" t="n">
        <v>2000</v>
      </c>
      <c r="F21" s="29" t="inlineStr">
        <is>
          <t>75%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ASPIRADOR DE PO MI ROBOT VACUUM S10 PLUS N.S. 41722/BFACXF3ZN01285</t>
        </is>
      </c>
      <c r="D22" s="35" t="n">
        <v>2000</v>
      </c>
      <c r="E22" s="35" t="n">
        <v>2000</v>
      </c>
      <c r="F22" s="33" t="inlineStr">
        <is>
          <t>75%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ASPIRADOR DE PO MI ROBOT VACUUM S10 PLUS N.S. 41722/BFACXF4NB00764</t>
        </is>
      </c>
      <c r="D23" s="31" t="n">
        <v>2000</v>
      </c>
      <c r="E23" s="31" t="n">
        <v>2000</v>
      </c>
      <c r="F23" s="29" t="inlineStr">
        <is>
          <t>75%</t>
        </is>
      </c>
      <c r="G23" s="32" t="inlineStr">
        <is>
          <t>ver no ML</t>
        </is>
      </c>
    </row>
    <row r="24">
      <c r="A24" s="33" t="n">
        <v>14</v>
      </c>
      <c r="B24" s="33" t="n">
        <v>2</v>
      </c>
      <c r="C24" s="34" t="inlineStr">
        <is>
          <t>FERRAMENTA ELETRICA BOMBA DE VACUO - SURYHA 80155.023 ID:TGWN34054 - SEM S/N</t>
        </is>
      </c>
      <c r="D24" s="35" t="n">
        <v>900</v>
      </c>
      <c r="E24" s="35" t="n">
        <v>1800</v>
      </c>
      <c r="F24" s="33" t="inlineStr">
        <is>
          <t>75%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PAINEL DE LED MAKKA LIGHT 50X100</t>
        </is>
      </c>
      <c r="D25" s="31" t="n">
        <v>1800</v>
      </c>
      <c r="E25" s="31" t="n">
        <v>1800</v>
      </c>
      <c r="F25" s="29" t="inlineStr">
        <is>
          <t>35%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MIXER ROBOT-COUPE MINI MP 190 V.V ID:QYDO00146 - S/N:Q7420150604</t>
        </is>
      </c>
      <c r="D26" s="35" t="n">
        <v>1400</v>
      </c>
      <c r="E26" s="35" t="n">
        <v>1400</v>
      </c>
      <c r="F26" s="33" t="inlineStr">
        <is>
          <t>70%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LIQUIDIFICADOR ROBOT COUPE MINI MP 190 VV ID:QYDO00146 - S/N:Q7420145604</t>
        </is>
      </c>
      <c r="D27" s="31" t="n">
        <v>1400</v>
      </c>
      <c r="E27" s="31" t="n">
        <v>1400</v>
      </c>
      <c r="F27" s="29" t="inlineStr">
        <is>
          <t>70%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ASPIRADOR DE PO MI ROBOT VACUUM X10 N.S. 40198/BFACWF4QY52009</t>
        </is>
      </c>
      <c r="D28" s="35" t="n">
        <v>1200</v>
      </c>
      <c r="E28" s="35" t="n">
        <v>1200</v>
      </c>
      <c r="F28" s="33" t="inlineStr">
        <is>
          <t>60%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FERRAMENTA ELETRICA NASAN NA--VR1</t>
        </is>
      </c>
      <c r="D29" s="31" t="n">
        <v>1200</v>
      </c>
      <c r="E29" s="31" t="n">
        <v>1200</v>
      </c>
      <c r="F29" s="29" t="inlineStr">
        <is>
          <t>50%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FERRAMENTA ELETRICA BOMBA DE VACUO - SURYHA 80155.018 ID:TGWN34054 - SEM S/N</t>
        </is>
      </c>
      <c r="D30" s="35" t="n">
        <v>1000</v>
      </c>
      <c r="E30" s="35" t="n">
        <v>1000</v>
      </c>
      <c r="F30" s="33" t="inlineStr">
        <is>
          <t>70%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ASPIRADOR DE PO MI ROBOT VACUUM S10 N.S. 41722/BFACXF3YU03252</t>
        </is>
      </c>
      <c r="D31" s="31" t="n">
        <v>950</v>
      </c>
      <c r="E31" s="31" t="n">
        <v>950</v>
      </c>
      <c r="F31" s="29" t="inlineStr">
        <is>
          <t>70%</t>
        </is>
      </c>
      <c r="G31" s="32" t="inlineStr">
        <is>
          <t>ver no ML</t>
        </is>
      </c>
    </row>
    <row r="32">
      <c r="A32" s="33" t="n">
        <v>22</v>
      </c>
      <c r="B32" s="33" t="n">
        <v>1</v>
      </c>
      <c r="C32" s="34" t="inlineStr">
        <is>
          <t>ASPIRADOR DE PO MI ROBOT VACUUM S10 N.S. 41722/BFACXF3YU02928</t>
        </is>
      </c>
      <c r="D32" s="35" t="n">
        <v>950</v>
      </c>
      <c r="E32" s="35" t="n">
        <v>950</v>
      </c>
      <c r="F32" s="33" t="inlineStr">
        <is>
          <t>70%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ASPIRADOR DE PO MI ROBOT VACUUM S10 N.S. 41722/BFACXF3ZU02141</t>
        </is>
      </c>
      <c r="D33" s="31" t="n">
        <v>950</v>
      </c>
      <c r="E33" s="31" t="n">
        <v>950</v>
      </c>
      <c r="F33" s="29" t="inlineStr">
        <is>
          <t>70%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ASPIRADOR DE PO MI ROBOT VACUUM S10 N.S. 41722/BFACXF3YU03097</t>
        </is>
      </c>
      <c r="D34" s="35" t="n">
        <v>950</v>
      </c>
      <c r="E34" s="35" t="n">
        <v>950</v>
      </c>
      <c r="F34" s="33" t="inlineStr">
        <is>
          <t>70%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ASPIRADOR DE PO MI ROBOT VACCUM S10 N.S. 41722/BFACXF4QK04026</t>
        </is>
      </c>
      <c r="D35" s="31" t="n">
        <v>950</v>
      </c>
      <c r="E35" s="31" t="n">
        <v>950</v>
      </c>
      <c r="F35" s="29" t="inlineStr">
        <is>
          <t>70%</t>
        </is>
      </c>
      <c r="G35" s="32" t="inlineStr">
        <is>
          <t>ver no ML</t>
        </is>
      </c>
    </row>
    <row r="36">
      <c r="A36" s="33" t="n">
        <v>26</v>
      </c>
      <c r="B36" s="33" t="n">
        <v>1</v>
      </c>
      <c r="C36" s="34" t="inlineStr">
        <is>
          <t>ASPIRADOR DE PO MI ROBOT VACCUM S10 N.S. 41722BFACXF3ZS01401</t>
        </is>
      </c>
      <c r="D36" s="35" t="n">
        <v>950</v>
      </c>
      <c r="E36" s="35" t="n">
        <v>950</v>
      </c>
      <c r="F36" s="33" t="inlineStr">
        <is>
          <t>70%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ASPIRADOR DE PO XIAOMI ROBOT VACUUM S10 N.S. 41722/BFACXF4QF04460</t>
        </is>
      </c>
      <c r="D37" s="31" t="n">
        <v>950</v>
      </c>
      <c r="E37" s="31" t="n">
        <v>950</v>
      </c>
      <c r="F37" s="29" t="inlineStr">
        <is>
          <t>70%</t>
        </is>
      </c>
      <c r="G37" s="32" t="inlineStr">
        <is>
          <t>ver no ML</t>
        </is>
      </c>
    </row>
    <row r="38">
      <c r="A38" s="33" t="n">
        <v>28</v>
      </c>
      <c r="B38" s="33" t="n">
        <v>1</v>
      </c>
      <c r="C38" s="34" t="inlineStr">
        <is>
          <t>FERRAMENTA MANUAL PRENSA TERMICA - MECOLOUR P8100 ID:BHAS12132 - S/N:20231214001</t>
        </is>
      </c>
      <c r="D38" s="35" t="n">
        <v>950</v>
      </c>
      <c r="E38" s="35" t="n">
        <v>950</v>
      </c>
      <c r="F38" s="33" t="inlineStr">
        <is>
          <t>55%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ASPIRADOR DE PO MI ROBOT VACUUN S10 N.S. 41722;BFACXF3YD00362</t>
        </is>
      </c>
      <c r="D39" s="31" t="n">
        <v>900</v>
      </c>
      <c r="E39" s="31" t="n">
        <v>900</v>
      </c>
      <c r="F39" s="29" t="inlineStr">
        <is>
          <t>60%</t>
        </is>
      </c>
      <c r="G39" s="32" t="inlineStr">
        <is>
          <t>ver no ML</t>
        </is>
      </c>
    </row>
    <row r="40">
      <c r="A40" s="33" t="n">
        <v>30</v>
      </c>
      <c r="B40" s="33" t="n">
        <v>1</v>
      </c>
      <c r="C40" s="34" t="inlineStr">
        <is>
          <t>ASPIRADOR DE PO MI ROBOT VACUUM S10 N.S. 41722/BFACXF3YU03284</t>
        </is>
      </c>
      <c r="D40" s="35" t="n">
        <v>900</v>
      </c>
      <c r="E40" s="35" t="n">
        <v>900</v>
      </c>
      <c r="F40" s="33" t="inlineStr">
        <is>
          <t>60%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ASPIRADOR DE PO MI ROBOT VACUUM S10 N.S. 41722/BFACXF3ZU01993</t>
        </is>
      </c>
      <c r="D41" s="31" t="n">
        <v>900</v>
      </c>
      <c r="E41" s="31" t="n">
        <v>900</v>
      </c>
      <c r="F41" s="29" t="inlineStr">
        <is>
          <t>60%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ASPIRADOR DE PO MI ROBOT VACUUM - S10 N.S. 39692/B2AE7F4QQ00564</t>
        </is>
      </c>
      <c r="D42" s="35" t="n">
        <v>900</v>
      </c>
      <c r="E42" s="35" t="n">
        <v>900</v>
      </c>
      <c r="F42" s="33" t="inlineStr">
        <is>
          <t>55%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ASPIRADOR DE PO MI ROBOT VACUUM - S10 N.S. 39692/B2AE7F4QQ01816</t>
        </is>
      </c>
      <c r="D43" s="31" t="n">
        <v>900</v>
      </c>
      <c r="E43" s="31" t="n">
        <v>900</v>
      </c>
      <c r="F43" s="29" t="inlineStr">
        <is>
          <t>55%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ASPIRADOR DE PO MI ROBOT VACUUM S10 N.S. 41722/BFACXF3YX01109 - ROBOT VACUUM S10</t>
        </is>
      </c>
      <c r="D44" s="35" t="n">
        <v>900</v>
      </c>
      <c r="E44" s="35" t="n">
        <v>900</v>
      </c>
      <c r="F44" s="33" t="inlineStr">
        <is>
          <t>55%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BARRACA DE CAMPING NATUREHIKE AUTDOORS COM MAT FOR STAR RIVER 2</t>
        </is>
      </c>
      <c r="D45" s="31" t="n">
        <v>800</v>
      </c>
      <c r="E45" s="31" t="n">
        <v>800</v>
      </c>
      <c r="F45" s="29" t="inlineStr">
        <is>
          <t>75%</t>
        </is>
      </c>
      <c r="G45" s="32" t="inlineStr">
        <is>
          <t>ver no ML</t>
        </is>
      </c>
    </row>
    <row r="46">
      <c r="A46" s="33" t="n">
        <v>36</v>
      </c>
      <c r="B46" s="33" t="n">
        <v>1</v>
      </c>
      <c r="C46" s="34" t="inlineStr">
        <is>
          <t>ASPIRADOR DE PO MI ROBOT VACUUM S10 N.S. 39692/B2AE7F3YB05591</t>
        </is>
      </c>
      <c r="D46" s="35" t="n">
        <v>800</v>
      </c>
      <c r="E46" s="35" t="n">
        <v>800</v>
      </c>
      <c r="F46" s="33" t="inlineStr">
        <is>
          <t>75%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ASPIRADOR DE PO MI XIAOMI ROBOT VACUUM S10 N.S. 41722/BFACXF3ZS01451</t>
        </is>
      </c>
      <c r="D47" s="31" t="n">
        <v>800</v>
      </c>
      <c r="E47" s="31" t="n">
        <v>800</v>
      </c>
      <c r="F47" s="29" t="inlineStr">
        <is>
          <t>75%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ASPIRADOR DE PO XIAOMI ROBOT VACUUM S10 N.S. 41722/BFACXF3Z901444</t>
        </is>
      </c>
      <c r="D48" s="35" t="n">
        <v>800</v>
      </c>
      <c r="E48" s="35" t="n">
        <v>800</v>
      </c>
      <c r="F48" s="33" t="inlineStr">
        <is>
          <t>75%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ASPIRADOR DE PO XIAOMI ROBOT VACUUM S10 N.S. 41722/BFACXF3YF04156</t>
        </is>
      </c>
      <c r="D49" s="31" t="n">
        <v>800</v>
      </c>
      <c r="E49" s="31" t="n">
        <v>800</v>
      </c>
      <c r="F49" s="29" t="inlineStr">
        <is>
          <t>75%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ASPIRADOR DE PO XIAOMI ROBOT VACUUM S10 N.S. 39692/B2AE7F3X704753</t>
        </is>
      </c>
      <c r="D50" s="35" t="n">
        <v>800</v>
      </c>
      <c r="E50" s="35" t="n">
        <v>800</v>
      </c>
      <c r="F50" s="33" t="inlineStr">
        <is>
          <t>75%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ASPIRADOR DE PO MI ROBOT VACUUM S10 N.S. 39692/B2AE7F4QQ01412</t>
        </is>
      </c>
      <c r="D51" s="31" t="n">
        <v>800</v>
      </c>
      <c r="E51" s="31" t="n">
        <v>800</v>
      </c>
      <c r="F51" s="29" t="inlineStr">
        <is>
          <t>75%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ASPIRADOR DE PO MI ROBOT VACUUM- S10 N.S. 41722/BFACXF3ZN03672</t>
        </is>
      </c>
      <c r="D52" s="35" t="n">
        <v>800</v>
      </c>
      <c r="E52" s="35" t="n">
        <v>800</v>
      </c>
      <c r="F52" s="33" t="inlineStr">
        <is>
          <t>75%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ASPIRADOR DE PO MI ROBOT VACUUM- S10 N.S. 41722/BFACXF3ZN03613</t>
        </is>
      </c>
      <c r="D53" s="31" t="n">
        <v>800</v>
      </c>
      <c r="E53" s="31" t="n">
        <v>800</v>
      </c>
      <c r="F53" s="29" t="inlineStr">
        <is>
          <t>75%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ASPIRADOR DE PO MI ROBOT VACUUM- S10 N.S. 41722/BFACXF3ZS02227</t>
        </is>
      </c>
      <c r="D54" s="35" t="n">
        <v>800</v>
      </c>
      <c r="E54" s="35" t="n">
        <v>800</v>
      </c>
      <c r="F54" s="33" t="inlineStr">
        <is>
          <t>75%</t>
        </is>
      </c>
      <c r="G54" s="32" t="inlineStr">
        <is>
          <t>ver no ML</t>
        </is>
      </c>
    </row>
    <row r="55">
      <c r="A55" s="29" t="n">
        <v>45</v>
      </c>
      <c r="B55" s="29" t="n">
        <v>1</v>
      </c>
      <c r="C55" s="30" t="inlineStr">
        <is>
          <t>ASPIRADOR DE PO MI ROBOT VACUUM- S10 N.S. 41722/BFACXF4QK03500</t>
        </is>
      </c>
      <c r="D55" s="31" t="n">
        <v>800</v>
      </c>
      <c r="E55" s="31" t="n">
        <v>800</v>
      </c>
      <c r="F55" s="29" t="inlineStr">
        <is>
          <t>75%</t>
        </is>
      </c>
      <c r="G55" s="32" t="inlineStr">
        <is>
          <t>ver no ML</t>
        </is>
      </c>
    </row>
    <row r="56">
      <c r="A56" s="33" t="n">
        <v>46</v>
      </c>
      <c r="B56" s="33" t="n">
        <v>1</v>
      </c>
      <c r="C56" s="34" t="inlineStr">
        <is>
          <t>ASPIRADOR DE PO MI ROBOT VACUUM- S10 N.S. 41722/BFACXF4QF04145</t>
        </is>
      </c>
      <c r="D56" s="35" t="n">
        <v>800</v>
      </c>
      <c r="E56" s="35" t="n">
        <v>800</v>
      </c>
      <c r="F56" s="33" t="inlineStr">
        <is>
          <t>75%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FERRAMENTA MANUAL PRENSA TERMICA PLANA-MECOLOUR MECOLOUR 23X30 ID 43279355508 - SN 323111330004</t>
        </is>
      </c>
      <c r="D57" s="31" t="n">
        <v>800</v>
      </c>
      <c r="E57" s="31" t="n">
        <v>800</v>
      </c>
      <c r="F57" s="29" t="inlineStr">
        <is>
          <t>72%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ASPIRADOR DE PO XIAOMI ROBOT VACUUM S10 ID 43322763232 - SN 41722;BFACXF3YX00889</t>
        </is>
      </c>
      <c r="D58" s="35" t="n">
        <v>800</v>
      </c>
      <c r="E58" s="35" t="n">
        <v>800</v>
      </c>
      <c r="F58" s="33" t="inlineStr">
        <is>
          <t>75%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ASPIRADOR DE PO XIAOMI ROBOT VACUUM S10 ID:43295949371 - S/N:41722;BFACXF3Z905363</t>
        </is>
      </c>
      <c r="D59" s="31" t="n">
        <v>800</v>
      </c>
      <c r="E59" s="31" t="n">
        <v>800</v>
      </c>
      <c r="F59" s="29" t="inlineStr">
        <is>
          <t>75%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ASPIRADOR DE PO XIAOMI ROBOT VACUUM S10 ID:43301110003 - S/N:39692B2AE7F3YC00104</t>
        </is>
      </c>
      <c r="D60" s="35" t="n">
        <v>800</v>
      </c>
      <c r="E60" s="35" t="n">
        <v>800</v>
      </c>
      <c r="F60" s="33" t="inlineStr">
        <is>
          <t>75%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FERRAMENTA MANUAL PRENSA TERMICA PLANA-MECOLOUR MECOLOUR 23X30 ID 43329261352 - SN POC20231214001</t>
        </is>
      </c>
      <c r="D61" s="31" t="n">
        <v>750</v>
      </c>
      <c r="E61" s="31" t="n">
        <v>750</v>
      </c>
      <c r="F61" s="29" t="inlineStr">
        <is>
          <t>75%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ESTACAO DE SOLDA QUICK 715 110V</t>
        </is>
      </c>
      <c r="D62" s="35" t="n">
        <v>750</v>
      </c>
      <c r="E62" s="35" t="n">
        <v>750</v>
      </c>
      <c r="F62" s="33" t="inlineStr">
        <is>
          <t>70%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ASPIRADOR DE PO SAMSUNG POWER BOT - E - VR 5000 WIFE ID;RZLG78193 - S/N:B11089AX405963</t>
        </is>
      </c>
      <c r="D63" s="31" t="n">
        <v>700</v>
      </c>
      <c r="E63" s="31" t="n">
        <v>700</v>
      </c>
      <c r="F63" s="29" t="inlineStr">
        <is>
          <t>70%</t>
        </is>
      </c>
      <c r="G63" s="32" t="inlineStr">
        <is>
          <t>ver no ML</t>
        </is>
      </c>
    </row>
    <row r="64">
      <c r="A64" s="33" t="n">
        <v>54</v>
      </c>
      <c r="B64" s="33" t="n">
        <v>1</v>
      </c>
      <c r="C64" s="34" t="inlineStr">
        <is>
          <t>ESTACAO DE SOLDA QUICK 8686D 110V</t>
        </is>
      </c>
      <c r="D64" s="35" t="n">
        <v>700</v>
      </c>
      <c r="E64" s="35" t="n">
        <v>700</v>
      </c>
      <c r="F64" s="33" t="inlineStr">
        <is>
          <t>35%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ASPIRADOR DE PO SAMSUNG VR5000 N.S. B11089AX405175</t>
        </is>
      </c>
      <c r="D65" s="31" t="n">
        <v>650</v>
      </c>
      <c r="E65" s="31" t="n">
        <v>650</v>
      </c>
      <c r="F65" s="29" t="inlineStr">
        <is>
          <t>70%</t>
        </is>
      </c>
      <c r="G65" s="32" t="inlineStr">
        <is>
          <t>ver no ML</t>
        </is>
      </c>
    </row>
    <row r="66">
      <c r="A66" s="33" t="n">
        <v>56</v>
      </c>
      <c r="B66" s="33" t="n">
        <v>1</v>
      </c>
      <c r="C66" s="34" t="inlineStr">
        <is>
          <t>ASPIRADOR DE PO MI ROBOT VACUUM E10 N.S. 43825/B2AE7F3R602656</t>
        </is>
      </c>
      <c r="D66" s="35" t="n">
        <v>650</v>
      </c>
      <c r="E66" s="35" t="n">
        <v>650</v>
      </c>
      <c r="F66" s="33" t="inlineStr">
        <is>
          <t>75%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ASPIRADOR DE PO XIAOMI ROBOT VACUUM E10 ID 43324575676 - SN 43825;B2AE7F3Q900575</t>
        </is>
      </c>
      <c r="D67" s="31" t="n">
        <v>650</v>
      </c>
      <c r="E67" s="31" t="n">
        <v>650</v>
      </c>
      <c r="F67" s="29" t="inlineStr">
        <is>
          <t>75%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ASPIRADOR DE PO MI ROBOT VACUUM E10C N.S. 50386/B2AE7F3VJ03175</t>
        </is>
      </c>
      <c r="D68" s="35" t="n">
        <v>600</v>
      </c>
      <c r="E68" s="35" t="n">
        <v>600</v>
      </c>
      <c r="F68" s="33" t="inlineStr">
        <is>
          <t>75%</t>
        </is>
      </c>
      <c r="G68" s="32" t="inlineStr">
        <is>
          <t>ver no ML</t>
        </is>
      </c>
    </row>
    <row r="69">
      <c r="A69" s="29" t="n">
        <v>59</v>
      </c>
      <c r="B69" s="29" t="n">
        <v>2</v>
      </c>
      <c r="C69" s="30" t="inlineStr">
        <is>
          <t>BINOCULO VISAO NOTURNA</t>
        </is>
      </c>
      <c r="D69" s="31" t="n">
        <v>300</v>
      </c>
      <c r="E69" s="31" t="n">
        <v>600</v>
      </c>
      <c r="F69" s="29" t="inlineStr">
        <is>
          <t>35%</t>
        </is>
      </c>
      <c r="G69" s="32" t="inlineStr">
        <is>
          <t>ver no ML</t>
        </is>
      </c>
    </row>
    <row r="70">
      <c r="A70" s="33" t="n">
        <v>60</v>
      </c>
      <c r="B70" s="33" t="n">
        <v>2</v>
      </c>
      <c r="C70" s="34" t="inlineStr">
        <is>
          <t>LEITOR DE CODIGO BARRAS EYOYO EY024</t>
        </is>
      </c>
      <c r="D70" s="35" t="n">
        <v>300</v>
      </c>
      <c r="E70" s="35" t="n">
        <v>600</v>
      </c>
      <c r="F70" s="33" t="inlineStr">
        <is>
          <t>55%</t>
        </is>
      </c>
      <c r="G70" s="32" t="inlineStr">
        <is>
          <t>ver no ML</t>
        </is>
      </c>
    </row>
    <row r="71">
      <c r="A71" s="29" t="n">
        <v>61</v>
      </c>
      <c r="B71" s="29" t="n">
        <v>2</v>
      </c>
      <c r="C71" s="30" t="inlineStr">
        <is>
          <t>FERRAMENTA ELETRICA PROFIELD TOSQUIADEIRA DE CAVALOS</t>
        </is>
      </c>
      <c r="D71" s="31" t="n">
        <v>280</v>
      </c>
      <c r="E71" s="31" t="n">
        <v>560</v>
      </c>
      <c r="F71" s="29" t="inlineStr">
        <is>
          <t>55%</t>
        </is>
      </c>
      <c r="G71" s="32" t="inlineStr">
        <is>
          <t>ver no ML</t>
        </is>
      </c>
    </row>
    <row r="72">
      <c r="A72" s="33" t="n">
        <v>62</v>
      </c>
      <c r="B72" s="33" t="n">
        <v>2</v>
      </c>
      <c r="C72" s="34" t="inlineStr">
        <is>
          <t>ESTACAO DE SOLDA KIT ESTACAO 8586 COMPLETA DE RETRABALHO SOLDA-SOPRADOR YMZN38579 - SEM S/N</t>
        </is>
      </c>
      <c r="D72" s="35" t="n">
        <v>280</v>
      </c>
      <c r="E72" s="35" t="n">
        <v>560</v>
      </c>
      <c r="F72" s="33" t="inlineStr">
        <is>
          <t>65%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MEDIDOR DE NIVEL A LASER HUEPAR 904DG</t>
        </is>
      </c>
      <c r="D73" s="31" t="n">
        <v>550</v>
      </c>
      <c r="E73" s="31" t="n">
        <v>550</v>
      </c>
      <c r="F73" s="29" t="inlineStr">
        <is>
          <t>75%</t>
        </is>
      </c>
      <c r="G73" s="32" t="inlineStr">
        <is>
          <t>ver no ML</t>
        </is>
      </c>
    </row>
    <row r="74">
      <c r="A74" s="33" t="n">
        <v>64</v>
      </c>
      <c r="B74" s="33" t="n">
        <v>1</v>
      </c>
      <c r="C74" s="34" t="inlineStr">
        <is>
          <t>ASPIRADOR DE PO ELECTROLUX HOME-E POWER - ERB30 ID:RKLF23843 - S/N:34900367</t>
        </is>
      </c>
      <c r="D74" s="35" t="n">
        <v>550</v>
      </c>
      <c r="E74" s="35" t="n">
        <v>550</v>
      </c>
      <c r="F74" s="33" t="inlineStr">
        <is>
          <t>65%</t>
        </is>
      </c>
      <c r="G74" s="32" t="inlineStr">
        <is>
          <t>ver no ML</t>
        </is>
      </c>
    </row>
    <row r="75">
      <c r="A75" s="29" t="n">
        <v>65</v>
      </c>
      <c r="B75" s="29" t="n">
        <v>1</v>
      </c>
      <c r="C75" s="30" t="inlineStr">
        <is>
          <t>VIDEO PORTEIRO HIK VISION KIT CAMPANHIA E MONITOR</t>
        </is>
      </c>
      <c r="D75" s="31" t="n">
        <v>480</v>
      </c>
      <c r="E75" s="31" t="n">
        <v>480</v>
      </c>
      <c r="F75" s="29" t="inlineStr">
        <is>
          <t>55%</t>
        </is>
      </c>
      <c r="G75" s="32" t="inlineStr">
        <is>
          <t>ver no ML</t>
        </is>
      </c>
    </row>
    <row r="76">
      <c r="A76" s="33" t="n">
        <v>66</v>
      </c>
      <c r="B76" s="33" t="n">
        <v>1</v>
      </c>
      <c r="C76" s="34" t="inlineStr">
        <is>
          <t>BARBEADOR ELETRICO GOLD FX BABYLISS PRO</t>
        </is>
      </c>
      <c r="D76" s="35" t="n">
        <v>450</v>
      </c>
      <c r="E76" s="35" t="n">
        <v>450</v>
      </c>
      <c r="F76" s="33" t="inlineStr">
        <is>
          <t>70%</t>
        </is>
      </c>
      <c r="G76" s="32" t="inlineStr">
        <is>
          <t>ver no ML</t>
        </is>
      </c>
    </row>
    <row r="77">
      <c r="A77" s="29" t="n">
        <v>67</v>
      </c>
      <c r="B77" s="29" t="n">
        <v>1</v>
      </c>
      <c r="C77" s="30" t="inlineStr">
        <is>
          <t>TELESCOPICO SVBONY SV28 ID:GUMS40436 - S/N:2401S0281100001</t>
        </is>
      </c>
      <c r="D77" s="31" t="n">
        <v>420</v>
      </c>
      <c r="E77" s="31" t="n">
        <v>420</v>
      </c>
      <c r="F77" s="29" t="inlineStr">
        <is>
          <t>70%</t>
        </is>
      </c>
      <c r="G77" s="32" t="inlineStr">
        <is>
          <t>ver no ML</t>
        </is>
      </c>
    </row>
    <row r="78">
      <c r="A78" s="33" t="n">
        <v>68</v>
      </c>
      <c r="B78" s="33" t="n">
        <v>1</v>
      </c>
      <c r="C78" s="34" t="inlineStr">
        <is>
          <t>ESTACAO DE SOLDA KIT ESTACAO 8586 COMPLETA DE RETRABALHO SOLDA-SOPRADOR 220V WSNO40518 - SEM S/N</t>
        </is>
      </c>
      <c r="D78" s="35" t="n">
        <v>400</v>
      </c>
      <c r="E78" s="35" t="n">
        <v>400</v>
      </c>
      <c r="F78" s="33" t="inlineStr">
        <is>
          <t>70%</t>
        </is>
      </c>
      <c r="G78" s="32" t="inlineStr">
        <is>
          <t>ver no ML</t>
        </is>
      </c>
    </row>
    <row r="79">
      <c r="A79" s="29" t="n">
        <v>69</v>
      </c>
      <c r="B79" s="29" t="n">
        <v>1</v>
      </c>
      <c r="C79" s="30" t="inlineStr">
        <is>
          <t>ESTACAO RETRABALHO SMD ESTACAO COMPLETA DE RETRABALHO SOLDA-SOPRADOR 750W SMD 220V QXAP38816 - SEM S/N</t>
        </is>
      </c>
      <c r="D79" s="31" t="n">
        <v>320</v>
      </c>
      <c r="E79" s="31" t="n">
        <v>320</v>
      </c>
      <c r="F79" s="29" t="inlineStr">
        <is>
          <t>70%</t>
        </is>
      </c>
      <c r="G79" s="32" t="inlineStr">
        <is>
          <t>ver no ML</t>
        </is>
      </c>
    </row>
    <row r="80">
      <c r="A80" s="33" t="n">
        <v>70</v>
      </c>
      <c r="B80" s="33" t="n">
        <v>2</v>
      </c>
      <c r="C80" s="34" t="inlineStr">
        <is>
          <t>BALANCA WA TERPROOF CRANE SCALE 3BG915</t>
        </is>
      </c>
      <c r="D80" s="35" t="n">
        <v>150</v>
      </c>
      <c r="E80" s="35" t="n">
        <v>300</v>
      </c>
      <c r="F80" s="33" t="inlineStr">
        <is>
          <t>50%</t>
        </is>
      </c>
      <c r="G80" s="32" t="inlineStr">
        <is>
          <t>ver no ML</t>
        </is>
      </c>
    </row>
    <row r="81">
      <c r="A81" s="29" t="n">
        <v>71</v>
      </c>
      <c r="B81" s="29" t="n">
        <v>1</v>
      </c>
      <c r="C81" s="30" t="inlineStr">
        <is>
          <t>PAINEL DE LED PEERL LIGHTING COM CASE</t>
        </is>
      </c>
      <c r="D81" s="31" t="n">
        <v>300</v>
      </c>
      <c r="E81" s="31" t="n">
        <v>300</v>
      </c>
      <c r="F81" s="29" t="inlineStr">
        <is>
          <t>35%</t>
        </is>
      </c>
      <c r="G81" s="32" t="inlineStr">
        <is>
          <t>ver no ML</t>
        </is>
      </c>
    </row>
    <row r="82">
      <c r="A82" s="33" t="n">
        <v>72</v>
      </c>
      <c r="B82" s="33" t="n">
        <v>1</v>
      </c>
      <c r="C82" s="34" t="inlineStr">
        <is>
          <t>BABA ELETRONICA TAKTARK BM813 ID:TMXD70301 - S/N:2AFX2BM915-1</t>
        </is>
      </c>
      <c r="D82" s="35" t="n">
        <v>300</v>
      </c>
      <c r="E82" s="35" t="n">
        <v>300</v>
      </c>
      <c r="F82" s="33" t="inlineStr">
        <is>
          <t>70%</t>
        </is>
      </c>
      <c r="G82" s="32" t="inlineStr">
        <is>
          <t>ver no ML</t>
        </is>
      </c>
    </row>
    <row r="83">
      <c r="A83" s="29" t="n">
        <v>73</v>
      </c>
      <c r="B83" s="29" t="n">
        <v>1</v>
      </c>
      <c r="C83" s="30" t="inlineStr">
        <is>
          <t>ASPIRADOR DE PO WAP ROBO ASPIRADOR ID:43293610352 - S/N:FW00788001987322023</t>
        </is>
      </c>
      <c r="D83" s="31" t="n">
        <v>300</v>
      </c>
      <c r="E83" s="31" t="n">
        <v>300</v>
      </c>
      <c r="F83" s="29" t="inlineStr">
        <is>
          <t>45%</t>
        </is>
      </c>
      <c r="G83" s="32" t="inlineStr">
        <is>
          <t>ver no ML</t>
        </is>
      </c>
    </row>
    <row r="84">
      <c r="A84" s="33" t="n">
        <v>74</v>
      </c>
      <c r="B84" s="33" t="n">
        <v>1</v>
      </c>
      <c r="C84" s="34" t="inlineStr">
        <is>
          <t>BINOCULO NIGHT VISION 4K ULTRA HD</t>
        </is>
      </c>
      <c r="D84" s="35" t="n">
        <v>250</v>
      </c>
      <c r="E84" s="35" t="n">
        <v>250</v>
      </c>
      <c r="F84" s="33" t="inlineStr">
        <is>
          <t>48%</t>
        </is>
      </c>
      <c r="G84" s="32" t="inlineStr">
        <is>
          <t>ver no ML</t>
        </is>
      </c>
    </row>
    <row r="85">
      <c r="A85" s="29" t="n">
        <v>75</v>
      </c>
      <c r="B85" s="29" t="n">
        <v>1</v>
      </c>
      <c r="C85" s="30" t="inlineStr">
        <is>
          <t>LEITOR DE CODIGO BARRAS EYOYO CP2A0066US</t>
        </is>
      </c>
      <c r="D85" s="31" t="n">
        <v>220</v>
      </c>
      <c r="E85" s="31" t="n">
        <v>220</v>
      </c>
      <c r="F85" s="29" t="inlineStr">
        <is>
          <t>60%</t>
        </is>
      </c>
      <c r="G85" s="32" t="inlineStr">
        <is>
          <t>ver no ML</t>
        </is>
      </c>
    </row>
    <row r="86">
      <c r="A86" s="33" t="n">
        <v>76</v>
      </c>
      <c r="B86" s="33" t="n">
        <v>2</v>
      </c>
      <c r="C86" s="34" t="inlineStr">
        <is>
          <t>ESTACAO DE SOLDA GRIFFIN T12 220V</t>
        </is>
      </c>
      <c r="D86" s="35" t="n">
        <v>110</v>
      </c>
      <c r="E86" s="35" t="n">
        <v>220</v>
      </c>
      <c r="F86" s="33" t="inlineStr">
        <is>
          <t>55%</t>
        </is>
      </c>
      <c r="G86" s="32" t="inlineStr">
        <is>
          <t>ver no ML</t>
        </is>
      </c>
    </row>
    <row r="87">
      <c r="A87" s="29" t="n">
        <v>77</v>
      </c>
      <c r="B87" s="29" t="n">
        <v>1</v>
      </c>
      <c r="C87" s="30" t="inlineStr">
        <is>
          <t>ASPIRADOR DE PO WAP ROBOT W96 ID:DGUK36424 - S/N:FW00959202753412023</t>
        </is>
      </c>
      <c r="D87" s="31" t="n">
        <v>200</v>
      </c>
      <c r="E87" s="31" t="n">
        <v>200</v>
      </c>
      <c r="F87" s="29" t="inlineStr">
        <is>
          <t>70%</t>
        </is>
      </c>
      <c r="G87" s="32" t="inlineStr">
        <is>
          <t>ver no ML</t>
        </is>
      </c>
    </row>
    <row r="88">
      <c r="A88" s="33" t="n">
        <v>78</v>
      </c>
      <c r="B88" s="33" t="n">
        <v>1</v>
      </c>
      <c r="C88" s="34" t="inlineStr">
        <is>
          <t>FERRAMENTA ELETRICA PROGRAMADORA JCID QQ219563030BR</t>
        </is>
      </c>
      <c r="D88" s="35" t="n">
        <v>200</v>
      </c>
      <c r="E88" s="35" t="n">
        <v>200</v>
      </c>
      <c r="F88" s="33" t="inlineStr">
        <is>
          <t>55%</t>
        </is>
      </c>
      <c r="G88" s="32" t="inlineStr">
        <is>
          <t>ver no ML</t>
        </is>
      </c>
    </row>
    <row r="89">
      <c r="A89" s="29" t="n">
        <v>79</v>
      </c>
      <c r="B89" s="29" t="n">
        <v>4</v>
      </c>
      <c r="C89" s="30" t="inlineStr">
        <is>
          <t>AROMATIZADOR DE AMBIENTE INTELLIGENT DIFFUSER</t>
        </is>
      </c>
      <c r="D89" s="31" t="n">
        <v>40</v>
      </c>
      <c r="E89" s="31" t="n">
        <v>160</v>
      </c>
      <c r="F89" s="29" t="inlineStr">
        <is>
          <t>45%</t>
        </is>
      </c>
      <c r="G89" s="32" t="inlineStr">
        <is>
          <t>ver no ML</t>
        </is>
      </c>
    </row>
    <row r="90">
      <c r="A90" s="33" t="n">
        <v>80</v>
      </c>
      <c r="B90" s="33" t="n">
        <v>1</v>
      </c>
      <c r="C90" s="34" t="inlineStr">
        <is>
          <t>FERRAMENTA ELETRICA PROFIELD PARAFUSADEIRA COM IMPACTO</t>
        </is>
      </c>
      <c r="D90" s="35" t="n">
        <v>150</v>
      </c>
      <c r="E90" s="35" t="n">
        <v>150</v>
      </c>
      <c r="F90" s="33" t="inlineStr">
        <is>
          <t>55%</t>
        </is>
      </c>
      <c r="G90" s="32" t="inlineStr">
        <is>
          <t>ver no ML</t>
        </is>
      </c>
    </row>
    <row r="91">
      <c r="A91" s="29" t="n">
        <v>81</v>
      </c>
      <c r="B91" s="29" t="n">
        <v>1</v>
      </c>
      <c r="C91" s="30" t="inlineStr">
        <is>
          <t>FERRAMENTA ELETRICA PROFIELD FURADEIRA COM IMPACTO</t>
        </is>
      </c>
      <c r="D91" s="31" t="n">
        <v>150</v>
      </c>
      <c r="E91" s="31" t="n">
        <v>150</v>
      </c>
      <c r="F91" s="29" t="inlineStr">
        <is>
          <t>55%</t>
        </is>
      </c>
      <c r="G91" s="32" t="inlineStr">
        <is>
          <t>ver no ML</t>
        </is>
      </c>
    </row>
    <row r="92">
      <c r="A92" s="33" t="n">
        <v>82</v>
      </c>
      <c r="B92" s="33" t="n">
        <v>1</v>
      </c>
      <c r="C92" s="34" t="inlineStr">
        <is>
          <t>FERRAMENTA ELETRICA PROFIELD ESMERILHADEIRA ANGULAR</t>
        </is>
      </c>
      <c r="D92" s="35" t="n">
        <v>140</v>
      </c>
      <c r="E92" s="35" t="n">
        <v>140</v>
      </c>
      <c r="F92" s="33" t="inlineStr">
        <is>
          <t>55%</t>
        </is>
      </c>
      <c r="G92" s="32" t="inlineStr">
        <is>
          <t>ver no ML</t>
        </is>
      </c>
    </row>
    <row r="93">
      <c r="A93" s="29" t="n">
        <v>83</v>
      </c>
      <c r="B93" s="29" t="n">
        <v>1</v>
      </c>
      <c r="C93" s="30" t="inlineStr">
        <is>
          <t>BABA ELETRONICA VIDEO BABY MONITOR VB603 ID:WJEJ04543 - S/N:120311251027</t>
        </is>
      </c>
      <c r="D93" s="31" t="n">
        <v>130</v>
      </c>
      <c r="E93" s="31" t="n">
        <v>130</v>
      </c>
      <c r="F93" s="29" t="inlineStr">
        <is>
          <t>70%</t>
        </is>
      </c>
      <c r="G93" s="32" t="inlineStr">
        <is>
          <t>ver no ML</t>
        </is>
      </c>
    </row>
    <row r="94">
      <c r="A94" s="33" t="n">
        <v>84</v>
      </c>
      <c r="B94" s="33" t="n">
        <v>3</v>
      </c>
      <c r="C94" s="34" t="inlineStr">
        <is>
          <t>DEPILADOR A115</t>
        </is>
      </c>
      <c r="D94" s="35" t="n">
        <v>35</v>
      </c>
      <c r="E94" s="35" t="n">
        <v>105</v>
      </c>
      <c r="F94" s="33" t="inlineStr">
        <is>
          <t>40%</t>
        </is>
      </c>
      <c r="G94" s="32" t="inlineStr">
        <is>
          <t>ver no ML</t>
        </is>
      </c>
    </row>
    <row r="95">
      <c r="A95" s="29" t="n">
        <v>85</v>
      </c>
      <c r="B95" s="29" t="n">
        <v>1</v>
      </c>
      <c r="C95" s="30" t="inlineStr">
        <is>
          <t>TELESCOPICO TELESCOPE F36050</t>
        </is>
      </c>
      <c r="D95" s="31" t="n">
        <v>80</v>
      </c>
      <c r="E95" s="31" t="n">
        <v>80</v>
      </c>
      <c r="F95" s="29" t="inlineStr">
        <is>
          <t>65%</t>
        </is>
      </c>
      <c r="G95" s="32" t="inlineStr">
        <is>
          <t>ver no ML</t>
        </is>
      </c>
    </row>
    <row r="96">
      <c r="A96" s="33" t="n">
        <v>86</v>
      </c>
      <c r="B96" s="33" t="n">
        <v>1</v>
      </c>
      <c r="C96" s="34" t="inlineStr">
        <is>
          <t>UTILIDADES DOMESTICAS CHAMADOR QUEUING WIRELESS US-68G ID:NYOO60786 SEM S/N</t>
        </is>
      </c>
      <c r="D96" s="35" t="n">
        <v>60</v>
      </c>
      <c r="E96" s="35" t="n">
        <v>60</v>
      </c>
      <c r="F96" s="33" t="inlineStr">
        <is>
          <t>40%</t>
        </is>
      </c>
      <c r="G96" s="32" t="inlineStr">
        <is>
          <t>ver no ML</t>
        </is>
      </c>
    </row>
    <row r="97">
      <c r="A97" s="29" t="n">
        <v>87</v>
      </c>
      <c r="B97" s="29" t="n">
        <v>1</v>
      </c>
      <c r="C97" s="30" t="inlineStr">
        <is>
          <t>LAMINA DE BARBEAR PROFIELD LAMINA PARA TOSQUIAR OVINOS</t>
        </is>
      </c>
      <c r="D97" s="31" t="n">
        <v>45</v>
      </c>
      <c r="E97" s="31" t="n">
        <v>45</v>
      </c>
      <c r="F97" s="29" t="inlineStr">
        <is>
          <t>50%</t>
        </is>
      </c>
      <c r="G97" s="32" t="inlineStr">
        <is>
          <t>ver no ML</t>
        </is>
      </c>
    </row>
    <row r="98">
      <c r="A98" s="22" t="n">
        <v>88</v>
      </c>
      <c r="B98" s="22" t="n">
        <v>4</v>
      </c>
      <c r="C98" s="23" t="inlineStr">
        <is>
          <t>ARAME OVALADO 1000M</t>
        </is>
      </c>
      <c r="D98" s="24" t="inlineStr">
        <is>
          <t>—</t>
        </is>
      </c>
      <c r="E98" s="24" t="inlineStr">
        <is>
          <t>—</t>
        </is>
      </c>
      <c r="F98" s="22" t="inlineStr">
        <is>
          <t>s/ preço</t>
        </is>
      </c>
      <c r="G98" s="25" t="inlineStr">
        <is>
          <t>ver no ML</t>
        </is>
      </c>
    </row>
    <row r="99">
      <c r="A99" s="22" t="n">
        <v>89</v>
      </c>
      <c r="B99" s="22" t="n">
        <v>400</v>
      </c>
      <c r="C99" s="23" t="inlineStr">
        <is>
          <t>CHAPA DE ALUMINIO 254X388X0.15MM</t>
        </is>
      </c>
      <c r="D99" s="24" t="inlineStr">
        <is>
          <t>—</t>
        </is>
      </c>
      <c r="E99" s="24" t="inlineStr">
        <is>
          <t>—</t>
        </is>
      </c>
      <c r="F99" s="22" t="inlineStr">
        <is>
          <t>s/ preço</t>
        </is>
      </c>
      <c r="G99" s="25" t="inlineStr">
        <is>
          <t>ver no ML</t>
        </is>
      </c>
    </row>
    <row r="100">
      <c r="A100" s="22" t="n">
        <v>90</v>
      </c>
      <c r="B100" s="22" t="n">
        <v>50</v>
      </c>
      <c r="C100" s="23" t="inlineStr">
        <is>
          <t>CHAPA DE ALUMINIO 800X600X0.30MM</t>
        </is>
      </c>
      <c r="D100" s="24" t="inlineStr">
        <is>
          <t>—</t>
        </is>
      </c>
      <c r="E100" s="24" t="inlineStr">
        <is>
          <t>—</t>
        </is>
      </c>
      <c r="F100" s="22" t="inlineStr">
        <is>
          <t>s/ preço</t>
        </is>
      </c>
      <c r="G100" s="25" t="inlineStr">
        <is>
          <t>ver no ML</t>
        </is>
      </c>
    </row>
    <row r="101">
      <c r="A101" s="22" t="n">
        <v>91</v>
      </c>
      <c r="B101" s="22" t="n">
        <v>200</v>
      </c>
      <c r="C101" s="23" t="inlineStr">
        <is>
          <t>CHAPA ALUMINIO 525X459X0.15MM</t>
        </is>
      </c>
      <c r="D101" s="24" t="inlineStr">
        <is>
          <t>—</t>
        </is>
      </c>
      <c r="E101" s="24" t="inlineStr">
        <is>
          <t>—</t>
        </is>
      </c>
      <c r="F101" s="22" t="inlineStr">
        <is>
          <t>s/ preço</t>
        </is>
      </c>
      <c r="G101" s="25" t="inlineStr">
        <is>
          <t>ver no ML</t>
        </is>
      </c>
    </row>
    <row r="102">
      <c r="A102" s="22" t="n">
        <v>92</v>
      </c>
      <c r="B102" s="22" t="n">
        <v>100</v>
      </c>
      <c r="C102" s="23" t="inlineStr">
        <is>
          <t>CHAPA ALUMINIO</t>
        </is>
      </c>
      <c r="D102" s="24" t="inlineStr">
        <is>
          <t>—</t>
        </is>
      </c>
      <c r="E102" s="24" t="inlineStr">
        <is>
          <t>—</t>
        </is>
      </c>
      <c r="F102" s="22" t="inlineStr">
        <is>
          <t>s/ preço</t>
        </is>
      </c>
      <c r="G102" s="25" t="inlineStr">
        <is>
          <t>ver no ML</t>
        </is>
      </c>
    </row>
    <row r="103">
      <c r="A103" s="22" t="n">
        <v>93</v>
      </c>
      <c r="B103" s="22" t="n">
        <v>1</v>
      </c>
      <c r="C103" s="23" t="inlineStr">
        <is>
          <t>CABO DE FORCA</t>
        </is>
      </c>
      <c r="D103" s="24" t="inlineStr">
        <is>
          <t>—</t>
        </is>
      </c>
      <c r="E103" s="24" t="inlineStr">
        <is>
          <t>—</t>
        </is>
      </c>
      <c r="F103" s="22" t="inlineStr">
        <is>
          <t>s/ preço</t>
        </is>
      </c>
      <c r="G103" s="25" t="inlineStr">
        <is>
          <t>ver no ML</t>
        </is>
      </c>
    </row>
    <row r="104">
      <c r="A104" s="22" t="n">
        <v>94</v>
      </c>
      <c r="B104" s="22" t="n">
        <v>2</v>
      </c>
      <c r="C104" s="23" t="inlineStr">
        <is>
          <t>PARTES E PECAS MAQ SOLDA SUPORTE</t>
        </is>
      </c>
      <c r="D104" s="24" t="inlineStr">
        <is>
          <t>—</t>
        </is>
      </c>
      <c r="E104" s="24" t="inlineStr">
        <is>
          <t>—</t>
        </is>
      </c>
      <c r="F104" s="22" t="inlineStr">
        <is>
          <t>s/ preço</t>
        </is>
      </c>
      <c r="G104" s="25" t="inlineStr">
        <is>
          <t>ver no ML</t>
        </is>
      </c>
    </row>
    <row r="105">
      <c r="A105" s="22" t="n">
        <v>95</v>
      </c>
      <c r="B105" s="22" t="n">
        <v>50</v>
      </c>
      <c r="C105" s="23" t="inlineStr">
        <is>
          <t>CHAPA ALUMINIO 30MM</t>
        </is>
      </c>
      <c r="D105" s="24" t="inlineStr">
        <is>
          <t>—</t>
        </is>
      </c>
      <c r="E105" s="24" t="inlineStr">
        <is>
          <t>—</t>
        </is>
      </c>
      <c r="F105" s="22" t="inlineStr">
        <is>
          <t>s/ preço</t>
        </is>
      </c>
      <c r="G105" s="25" t="inlineStr">
        <is>
          <t>ver no ML</t>
        </is>
      </c>
    </row>
    <row r="106">
      <c r="A106" s="22" t="n">
        <v>96</v>
      </c>
      <c r="B106" s="22" t="n">
        <v>50</v>
      </c>
      <c r="C106" s="23" t="inlineStr">
        <is>
          <t>CHAPA ALUMINIO</t>
        </is>
      </c>
      <c r="D106" s="24" t="inlineStr">
        <is>
          <t>—</t>
        </is>
      </c>
      <c r="E106" s="24" t="inlineStr">
        <is>
          <t>—</t>
        </is>
      </c>
      <c r="F106" s="22" t="inlineStr">
        <is>
          <t>s/ preço</t>
        </is>
      </c>
      <c r="G106" s="25" t="inlineStr">
        <is>
          <t>ver no ML</t>
        </is>
      </c>
    </row>
    <row r="107">
      <c r="A107" s="22" t="n">
        <v>97</v>
      </c>
      <c r="B107" s="22" t="n">
        <v>1</v>
      </c>
      <c r="C107" s="23" t="inlineStr">
        <is>
          <t>CHAPA DE ALUMINIO 50 UNIDADES</t>
        </is>
      </c>
      <c r="D107" s="24" t="inlineStr">
        <is>
          <t>—</t>
        </is>
      </c>
      <c r="E107" s="24" t="inlineStr">
        <is>
          <t>—</t>
        </is>
      </c>
      <c r="F107" s="22" t="inlineStr">
        <is>
          <t>s/ preço</t>
        </is>
      </c>
      <c r="G107" s="25" t="inlineStr">
        <is>
          <t>ver no ML</t>
        </is>
      </c>
    </row>
    <row r="108">
      <c r="A108" s="22" t="n">
        <v>98</v>
      </c>
      <c r="B108" s="22" t="n">
        <v>2</v>
      </c>
      <c r="C108" s="23" t="inlineStr">
        <is>
          <t>CHAPA DE ALUMINIO 100U</t>
        </is>
      </c>
      <c r="D108" s="24" t="inlineStr">
        <is>
          <t>—</t>
        </is>
      </c>
      <c r="E108" s="24" t="inlineStr">
        <is>
          <t>—</t>
        </is>
      </c>
      <c r="F108" s="22" t="inlineStr">
        <is>
          <t>s/ preço</t>
        </is>
      </c>
      <c r="G108" s="25" t="inlineStr">
        <is>
          <t>ver no ML</t>
        </is>
      </c>
    </row>
    <row r="109">
      <c r="C109" s="26" t="inlineStr">
        <is>
          <t>VALOR DE MERCADO TOTAL</t>
        </is>
      </c>
      <c r="D109" s="27" t="inlineStr"/>
      <c r="E109" s="28">
        <f>SUM(E11:E108)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  <hyperlink xmlns:r="http://schemas.openxmlformats.org/officeDocument/2006/relationships" ref="G90" r:id="rId80"/>
    <hyperlink xmlns:r="http://schemas.openxmlformats.org/officeDocument/2006/relationships" ref="G91" r:id="rId81"/>
    <hyperlink xmlns:r="http://schemas.openxmlformats.org/officeDocument/2006/relationships" ref="G92" r:id="rId82"/>
    <hyperlink xmlns:r="http://schemas.openxmlformats.org/officeDocument/2006/relationships" ref="G93" r:id="rId83"/>
    <hyperlink xmlns:r="http://schemas.openxmlformats.org/officeDocument/2006/relationships" ref="G94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121 — INSTRUMENTO MUSICAL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99890</v>
      </c>
    </row>
    <row r="5">
      <c r="A5" s="16" t="inlineStr">
        <is>
          <t>Valor de mercado (itens)</t>
        </is>
      </c>
      <c r="C5" s="18" t="n">
        <v>219860</v>
      </c>
    </row>
    <row r="6">
      <c r="A6" s="16" t="inlineStr">
        <is>
          <t>LANCE mínimo (conservador)</t>
        </is>
      </c>
      <c r="C6" s="19" t="n">
        <v>76951</v>
      </c>
    </row>
    <row r="7">
      <c r="A7" s="16" t="inlineStr">
        <is>
          <t>LANCE ideal</t>
        </is>
      </c>
      <c r="C7" s="19" t="n">
        <v>100036</v>
      </c>
    </row>
    <row r="8">
      <c r="A8" s="16" t="inlineStr">
        <is>
          <t>LANCE máximo (agressivo)</t>
        </is>
      </c>
      <c r="C8" s="20" t="n">
        <v>130817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CAIXA ACUSTICA SVS PB-1000 PRO NS:PB1P03241400</t>
        </is>
      </c>
      <c r="D11" s="31" t="n">
        <v>16000</v>
      </c>
      <c r="E11" s="31" t="n">
        <v>16000</v>
      </c>
      <c r="F11" s="29" t="inlineStr">
        <is>
          <t>60%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MESA DE SOM BEHRINGER X32 S240500108ASF</t>
        </is>
      </c>
      <c r="D12" s="35" t="n">
        <v>15000</v>
      </c>
      <c r="E12" s="35" t="n">
        <v>15000</v>
      </c>
      <c r="F12" s="33" t="inlineStr">
        <is>
          <t>58%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CAIXA ACUSTICA SVS PB-2000 PRO NS:PB2P08231217</t>
        </is>
      </c>
      <c r="D13" s="31" t="n">
        <v>13500</v>
      </c>
      <c r="E13" s="31" t="n">
        <v>13500</v>
      </c>
      <c r="F13" s="29" t="inlineStr">
        <is>
          <t>70%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PROCESSADOR DE SOM NOVASTAR VX1000 NS: QN508851342BR</t>
        </is>
      </c>
      <c r="D14" s="35" t="n">
        <v>9000</v>
      </c>
      <c r="E14" s="35" t="n">
        <v>9000</v>
      </c>
      <c r="F14" s="33" t="inlineStr">
        <is>
          <t>65%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CAIXA ACUSTICA QSC K12.2 NS:25CN2420200166</t>
        </is>
      </c>
      <c r="D15" s="31" t="n">
        <v>5300</v>
      </c>
      <c r="E15" s="31" t="n">
        <v>5300</v>
      </c>
      <c r="F15" s="29" t="inlineStr">
        <is>
          <t>70%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CAIXA ACUSTICA QSC K12.2 NS:25CN2420200373</t>
        </is>
      </c>
      <c r="D16" s="35" t="n">
        <v>5300</v>
      </c>
      <c r="E16" s="35" t="n">
        <v>5300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11</v>
      </c>
      <c r="C17" s="30" t="inlineStr">
        <is>
          <t>SUBWOOFER P/ CARRO JBL TORNADO 3000 ID:VDCU43004</t>
        </is>
      </c>
      <c r="D17" s="31" t="n">
        <v>450</v>
      </c>
      <c r="E17" s="31" t="n">
        <v>4950</v>
      </c>
      <c r="F17" s="29" t="inlineStr">
        <is>
          <t>75%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ACORDEOM SCANDALLI 37K80BS</t>
        </is>
      </c>
      <c r="D18" s="35" t="n">
        <v>4500</v>
      </c>
      <c r="E18" s="35" t="n">
        <v>4500</v>
      </c>
      <c r="F18" s="33" t="inlineStr">
        <is>
          <t>65%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CAIXA ACUSTICA JBL EON715-EK ID:43295368083 - S/N:P3302-0012975</t>
        </is>
      </c>
      <c r="D19" s="31" t="n">
        <v>4400</v>
      </c>
      <c r="E19" s="31" t="n">
        <v>4400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12</v>
      </c>
      <c r="C20" s="34" t="inlineStr">
        <is>
          <t>FONE DE OUVIDO C/MICROFON MICROSOFT XBOX WIRELESS HEADSET ID:WMJD13848</t>
        </is>
      </c>
      <c r="D20" s="35" t="n">
        <v>350</v>
      </c>
      <c r="E20" s="35" t="n">
        <v>4200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AMPLIFICADOR LAB.GRUPPEN FP14000 N.S. SAP2023000795</t>
        </is>
      </c>
      <c r="D21" s="31" t="n">
        <v>3800</v>
      </c>
      <c r="E21" s="31" t="n">
        <v>3800</v>
      </c>
      <c r="F21" s="29" t="inlineStr">
        <is>
          <t>75%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AMPLIFICADOR LAB.GRUPPEN FP14000 N.S. SAP2023000761</t>
        </is>
      </c>
      <c r="D22" s="35" t="n">
        <v>3800</v>
      </c>
      <c r="E22" s="35" t="n">
        <v>3800</v>
      </c>
      <c r="F22" s="33" t="inlineStr">
        <is>
          <t>75%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AMPLIFICADOR LAB.GRUPPEN FP14000 N.S. SAP2023000777</t>
        </is>
      </c>
      <c r="D23" s="31" t="n">
        <v>3800</v>
      </c>
      <c r="E23" s="31" t="n">
        <v>3800</v>
      </c>
      <c r="F23" s="29" t="inlineStr">
        <is>
          <t>75%</t>
        </is>
      </c>
      <c r="G23" s="32" t="inlineStr">
        <is>
          <t>ver no ML</t>
        </is>
      </c>
    </row>
    <row r="24">
      <c r="A24" s="33" t="n">
        <v>14</v>
      </c>
      <c r="B24" s="33" t="n">
        <v>17</v>
      </c>
      <c r="C24" s="34" t="inlineStr">
        <is>
          <t>CAIXA ACUSTICA INTELIGENTE ALEXA ECHO DOT</t>
        </is>
      </c>
      <c r="D24" s="35" t="n">
        <v>220</v>
      </c>
      <c r="E24" s="35" t="n">
        <v>3740</v>
      </c>
      <c r="F24" s="33" t="inlineStr">
        <is>
          <t>75%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CAIXA ACUSTICA BOWER WILKINS 606 S3</t>
        </is>
      </c>
      <c r="D25" s="31" t="n">
        <v>3500</v>
      </c>
      <c r="E25" s="31" t="n">
        <v>3500</v>
      </c>
      <c r="F25" s="29" t="inlineStr">
        <is>
          <t>70%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CAIXA ACUSTICA SVS SB-2000 PRO NS:SB2P04241036</t>
        </is>
      </c>
      <c r="D26" s="35" t="n">
        <v>3500</v>
      </c>
      <c r="E26" s="35" t="n">
        <v>3500</v>
      </c>
      <c r="F26" s="33" t="inlineStr">
        <is>
          <t>55%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ACORDEOM TODESKINI 48 BAIXO</t>
        </is>
      </c>
      <c r="D27" s="31" t="n">
        <v>3200</v>
      </c>
      <c r="E27" s="31" t="n">
        <v>3200</v>
      </c>
      <c r="F27" s="29" t="inlineStr">
        <is>
          <t>60%</t>
        </is>
      </c>
      <c r="G27" s="32" t="inlineStr">
        <is>
          <t>ver no ML</t>
        </is>
      </c>
    </row>
    <row r="28">
      <c r="A28" s="33" t="n">
        <v>18</v>
      </c>
      <c r="B28" s="33" t="n">
        <v>4</v>
      </c>
      <c r="C28" s="34" t="inlineStr">
        <is>
          <t>CANHAO DE LUZ LED LASER MOVING HEAD LIGHT ID:MWTP00069</t>
        </is>
      </c>
      <c r="D28" s="35" t="n">
        <v>700</v>
      </c>
      <c r="E28" s="35" t="n">
        <v>2800</v>
      </c>
      <c r="F28" s="33" t="inlineStr">
        <is>
          <t>50%</t>
        </is>
      </c>
      <c r="G28" s="32" t="inlineStr">
        <is>
          <t>ver no ML</t>
        </is>
      </c>
    </row>
    <row r="29">
      <c r="A29" s="29" t="n">
        <v>19</v>
      </c>
      <c r="B29" s="29" t="n">
        <v>6</v>
      </c>
      <c r="C29" s="30" t="inlineStr">
        <is>
          <t>SUBWOOFER P/ CARRO PIONEER TS-W312D4</t>
        </is>
      </c>
      <c r="D29" s="31" t="n">
        <v>450</v>
      </c>
      <c r="E29" s="31" t="n">
        <v>2700</v>
      </c>
      <c r="F29" s="29" t="inlineStr">
        <is>
          <t>70%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SUBWOOFER P/ HOME THEATER KLIPSCH R-12SWI N.S. 106351521103838</t>
        </is>
      </c>
      <c r="D30" s="35" t="n">
        <v>2200</v>
      </c>
      <c r="E30" s="35" t="n">
        <v>2200</v>
      </c>
      <c r="F30" s="33" t="inlineStr">
        <is>
          <t>55%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ACESS DE SOM DBX HARMAN DRIVERACK PA2 PROCESSADOR DE SINAL</t>
        </is>
      </c>
      <c r="D31" s="31" t="n">
        <v>2000</v>
      </c>
      <c r="E31" s="31" t="n">
        <v>2000</v>
      </c>
      <c r="F31" s="29" t="inlineStr">
        <is>
          <t>75%</t>
        </is>
      </c>
      <c r="G31" s="32" t="inlineStr">
        <is>
          <t>ver no ML</t>
        </is>
      </c>
    </row>
    <row r="32">
      <c r="A32" s="33" t="n">
        <v>22</v>
      </c>
      <c r="B32" s="33" t="n">
        <v>18</v>
      </c>
      <c r="C32" s="34" t="inlineStr">
        <is>
          <t>FONE DE OUVIDO KZ KZ-ZAR ID:MWLE43366 SEM S/N</t>
        </is>
      </c>
      <c r="D32" s="35" t="n">
        <v>110</v>
      </c>
      <c r="E32" s="35" t="n">
        <v>1980</v>
      </c>
      <c r="F32" s="33" t="inlineStr">
        <is>
          <t>65%</t>
        </is>
      </c>
      <c r="G32" s="32" t="inlineStr">
        <is>
          <t>ver no ML</t>
        </is>
      </c>
    </row>
    <row r="33">
      <c r="A33" s="29" t="n">
        <v>23</v>
      </c>
      <c r="B33" s="29" t="n">
        <v>6</v>
      </c>
      <c r="C33" s="30" t="inlineStr">
        <is>
          <t>ACESS DE INSTR.MUSICAL RECEIVER - M-VAVE AIR BRIDGE ID:IWEG10747 SEM /S:</t>
        </is>
      </c>
      <c r="D33" s="31" t="n">
        <v>290</v>
      </c>
      <c r="E33" s="31" t="n">
        <v>1740</v>
      </c>
      <c r="F33" s="29" t="inlineStr">
        <is>
          <t>70%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CAIXA ACUSTICA KRK ROKIT 5 N.S. HBHH167370 - HBHH165737 - PAR</t>
        </is>
      </c>
      <c r="D34" s="35" t="n">
        <v>1700</v>
      </c>
      <c r="E34" s="35" t="n">
        <v>1700</v>
      </c>
      <c r="F34" s="33" t="inlineStr">
        <is>
          <t>65%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MICROFONE SEM FIO DJI MIC 2 ID:43313010048 - S/N:6VRXLBP0132MUF</t>
        </is>
      </c>
      <c r="D35" s="31" t="n">
        <v>1700</v>
      </c>
      <c r="E35" s="31" t="n">
        <v>1700</v>
      </c>
      <c r="F35" s="29" t="inlineStr">
        <is>
          <t>70%</t>
        </is>
      </c>
      <c r="G35" s="32" t="inlineStr">
        <is>
          <t>ver no ML</t>
        </is>
      </c>
    </row>
    <row r="36">
      <c r="A36" s="33" t="n">
        <v>26</v>
      </c>
      <c r="B36" s="33" t="n">
        <v>3</v>
      </c>
      <c r="C36" s="34" t="inlineStr">
        <is>
          <t>MICROFONE AUDIO-TECHNICA AT2020</t>
        </is>
      </c>
      <c r="D36" s="35" t="n">
        <v>550</v>
      </c>
      <c r="E36" s="35" t="n">
        <v>1650</v>
      </c>
      <c r="F36" s="33" t="inlineStr">
        <is>
          <t>70%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CAIXA ACUSTICA JBL PARTYBOX ON-THE-GO N.S. TL1198-AO0084604</t>
        </is>
      </c>
      <c r="D37" s="31" t="n">
        <v>1400</v>
      </c>
      <c r="E37" s="31" t="n">
        <v>1400</v>
      </c>
      <c r="F37" s="29" t="inlineStr">
        <is>
          <t>65%</t>
        </is>
      </c>
      <c r="G37" s="32" t="inlineStr">
        <is>
          <t>ver no ML</t>
        </is>
      </c>
    </row>
    <row r="38">
      <c r="A38" s="33" t="n">
        <v>28</v>
      </c>
      <c r="B38" s="33" t="n">
        <v>1</v>
      </c>
      <c r="C38" s="34" t="inlineStr">
        <is>
          <t>CAIXA ACUSTICA JBL PARTYBOX ON-THE-GO</t>
        </is>
      </c>
      <c r="D38" s="35" t="n">
        <v>1400</v>
      </c>
      <c r="E38" s="35" t="n">
        <v>1400</v>
      </c>
      <c r="F38" s="33" t="inlineStr">
        <is>
          <t>65%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FONE DE OUVIDO C/MICROFON STEELSERIES ARCTIS NOVA PRO WIRELESS ID 43291551109 - SN 6152045813382300145</t>
        </is>
      </c>
      <c r="D39" s="31" t="n">
        <v>1400</v>
      </c>
      <c r="E39" s="31" t="n">
        <v>1400</v>
      </c>
      <c r="F39" s="29" t="inlineStr">
        <is>
          <t>75%</t>
        </is>
      </c>
      <c r="G39" s="32" t="inlineStr">
        <is>
          <t>ver no ML</t>
        </is>
      </c>
    </row>
    <row r="40">
      <c r="A40" s="33" t="n">
        <v>30</v>
      </c>
      <c r="B40" s="33" t="n">
        <v>1</v>
      </c>
      <c r="C40" s="34" t="inlineStr">
        <is>
          <t>FONE DE OUVIDO WIRELLES HEADSET - XBOX STEELSERIES ARCTIS NOVA PRO ID:LPBW70393 - S/N:6152145713442304635</t>
        </is>
      </c>
      <c r="D40" s="35" t="n">
        <v>1400</v>
      </c>
      <c r="E40" s="35" t="n">
        <v>1400</v>
      </c>
      <c r="F40" s="33" t="inlineStr">
        <is>
          <t>75%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MESA DE SOM PROFX12 V3</t>
        </is>
      </c>
      <c r="D41" s="31" t="n">
        <v>1200</v>
      </c>
      <c r="E41" s="31" t="n">
        <v>1200</v>
      </c>
      <c r="F41" s="29" t="inlineStr">
        <is>
          <t>75%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AMPLIFICADOR BEHRINGER HA8000 N.S. S240101035BRU</t>
        </is>
      </c>
      <c r="D42" s="35" t="n">
        <v>1100</v>
      </c>
      <c r="E42" s="35" t="n">
        <v>1100</v>
      </c>
      <c r="F42" s="33" t="inlineStr">
        <is>
          <t>70%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MICROFONE SEM FIO DJI MIC AST01/KIT COM 10 FIXADOR SUPORTE GARRA ID 43314660400 - SN 4VGZM1K0020MHV</t>
        </is>
      </c>
      <c r="D43" s="31" t="n">
        <v>1100</v>
      </c>
      <c r="E43" s="31" t="n">
        <v>1100</v>
      </c>
      <c r="F43" s="29" t="inlineStr">
        <is>
          <t>65%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PEDAL PARA INSTR. MUSICAL ZOOM B1 X FOUR N.S. C36061775</t>
        </is>
      </c>
      <c r="D44" s="35" t="n">
        <v>1000</v>
      </c>
      <c r="E44" s="35" t="n">
        <v>1000</v>
      </c>
      <c r="F44" s="33" t="inlineStr">
        <is>
          <t>70%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ACESS DE SOM ELGATO WAVE XLR N.S. A01DA40122DRD6</t>
        </is>
      </c>
      <c r="D45" s="31" t="n">
        <v>950</v>
      </c>
      <c r="E45" s="31" t="n">
        <v>950</v>
      </c>
      <c r="F45" s="29" t="inlineStr">
        <is>
          <t>60%</t>
        </is>
      </c>
      <c r="G45" s="32" t="inlineStr">
        <is>
          <t>ver no ML</t>
        </is>
      </c>
    </row>
    <row r="46">
      <c r="A46" s="33" t="n">
        <v>36</v>
      </c>
      <c r="B46" s="33" t="n">
        <v>3</v>
      </c>
      <c r="C46" s="34" t="inlineStr">
        <is>
          <t>CANHAO DE LUZ BRIWAX - BX-368 1223 ID:MWTP00069 SEM S/N</t>
        </is>
      </c>
      <c r="D46" s="35" t="n">
        <v>300</v>
      </c>
      <c r="E46" s="35" t="n">
        <v>900</v>
      </c>
      <c r="F46" s="33" t="inlineStr">
        <is>
          <t>55%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ALTO FALANTE JBL - KIT ARANDELA MAIS AMPLIFICADOR INVISIVEL BLUETOOTH ID:OVAK64754 - S/N:B66M6785A24D</t>
        </is>
      </c>
      <c r="D47" s="31" t="n">
        <v>900</v>
      </c>
      <c r="E47" s="31" t="n">
        <v>900</v>
      </c>
      <c r="F47" s="29" t="inlineStr">
        <is>
          <t>65%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ALTO FALANTE JBL - KIT ARANDELA MAIS AMPLIFICADOR INVISIVEL BLUETOOTH ID:OVAK64754 - S/N:B66M7111A24D</t>
        </is>
      </c>
      <c r="D48" s="35" t="n">
        <v>900</v>
      </c>
      <c r="E48" s="35" t="n">
        <v>900</v>
      </c>
      <c r="F48" s="33" t="inlineStr">
        <is>
          <t>65%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ALTO FALANTE JBL - KIT ARANDELA MAIS AMPLIFICADOR INVISIVEL BLUETOOTH ID:OVAK64754 - S/N:B66M6633A24D</t>
        </is>
      </c>
      <c r="D49" s="31" t="n">
        <v>900</v>
      </c>
      <c r="E49" s="31" t="n">
        <v>900</v>
      </c>
      <c r="F49" s="29" t="inlineStr">
        <is>
          <t>65%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ALTO FALANTE JBL - KIT ARANDELA MAIS AMPLIFICADOR INVISIVEL BLUETOOTH ID:OVAK64754 - S/N:B66M6997A24D</t>
        </is>
      </c>
      <c r="D50" s="35" t="n">
        <v>900</v>
      </c>
      <c r="E50" s="35" t="n">
        <v>900</v>
      </c>
      <c r="F50" s="33" t="inlineStr">
        <is>
          <t>65%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ALTO FALANTE JBL - KIT ARANDELA MAIS AMPLIFICADOR INVISIVEL BLUETOOTH ID:OVAK64754 - S/N:B66M6711A24D</t>
        </is>
      </c>
      <c r="D51" s="31" t="n">
        <v>900</v>
      </c>
      <c r="E51" s="31" t="n">
        <v>900</v>
      </c>
      <c r="F51" s="29" t="inlineStr">
        <is>
          <t>65%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ALTO FALANTE JBL - KIT ARANDELA MAIS AMPLIFICADOR INVISIVEL BLUETOOTH ID:OVAK64754 - S/N:B66M6826A24D</t>
        </is>
      </c>
      <c r="D52" s="35" t="n">
        <v>900</v>
      </c>
      <c r="E52" s="35" t="n">
        <v>900</v>
      </c>
      <c r="F52" s="33" t="inlineStr">
        <is>
          <t>65%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PEDAL PARA INSTR. MUSICAL ZOOM G1 X FOUR N.S. C32237864</t>
        </is>
      </c>
      <c r="D53" s="31" t="n">
        <v>850</v>
      </c>
      <c r="E53" s="31" t="n">
        <v>850</v>
      </c>
      <c r="F53" s="29" t="inlineStr">
        <is>
          <t>75%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PEDAL PARA INSTR. MUSICAL ZOOM G1 X FOUR N.S. C32237870</t>
        </is>
      </c>
      <c r="D54" s="35" t="n">
        <v>850</v>
      </c>
      <c r="E54" s="35" t="n">
        <v>850</v>
      </c>
      <c r="F54" s="33" t="inlineStr">
        <is>
          <t>75%</t>
        </is>
      </c>
      <c r="G54" s="32" t="inlineStr">
        <is>
          <t>ver no ML</t>
        </is>
      </c>
    </row>
    <row r="55">
      <c r="A55" s="29" t="n">
        <v>45</v>
      </c>
      <c r="B55" s="29" t="n">
        <v>6</v>
      </c>
      <c r="C55" s="30" t="inlineStr">
        <is>
          <t>MICROFONE SHURE SV200</t>
        </is>
      </c>
      <c r="D55" s="31" t="n">
        <v>140</v>
      </c>
      <c r="E55" s="31" t="n">
        <v>840</v>
      </c>
      <c r="F55" s="29" t="inlineStr">
        <is>
          <t>75%</t>
        </is>
      </c>
      <c r="G55" s="32" t="inlineStr">
        <is>
          <t>ver no ML</t>
        </is>
      </c>
    </row>
    <row r="56">
      <c r="A56" s="33" t="n">
        <v>46</v>
      </c>
      <c r="B56" s="33" t="n">
        <v>1</v>
      </c>
      <c r="C56" s="34" t="inlineStr">
        <is>
          <t>FONE DE OUVIDO SEM FIO - JBL TOUR PRO 2 ID 43299247361 - SN CS0593-IN0162970</t>
        </is>
      </c>
      <c r="D56" s="35" t="n">
        <v>800</v>
      </c>
      <c r="E56" s="35" t="n">
        <v>800</v>
      </c>
      <c r="F56" s="33" t="inlineStr">
        <is>
          <t>70%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MICROFONE SEM FIO BOYA BY-WM8 PRO-K2 ID:ZRSF18274</t>
        </is>
      </c>
      <c r="D57" s="31" t="n">
        <v>800</v>
      </c>
      <c r="E57" s="31" t="n">
        <v>800</v>
      </c>
      <c r="F57" s="29" t="inlineStr">
        <is>
          <t>70%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FONE DE OUVIDO RAZER - PLAYSTATION FOR/POUR /PS5 - HAMMERHEAD HYPERSPEED ID:NHDR50403 - S/N:232324E06101041</t>
        </is>
      </c>
      <c r="D58" s="35" t="n">
        <v>700</v>
      </c>
      <c r="E58" s="35" t="n">
        <v>700</v>
      </c>
      <c r="F58" s="33" t="inlineStr">
        <is>
          <t>65%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FONE DE OUVIDO RAZER HAMMERHEAD HYPERSPEED ID:NHDR50403 - S/N:232325E06100108</t>
        </is>
      </c>
      <c r="D59" s="31" t="n">
        <v>700</v>
      </c>
      <c r="E59" s="31" t="n">
        <v>700</v>
      </c>
      <c r="F59" s="29" t="inlineStr">
        <is>
          <t>65%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FONE DE OUVIDO SONY INZONE BUDS ID:DQOU67356 - S/N:S0120059068</t>
        </is>
      </c>
      <c r="D60" s="35" t="n">
        <v>700</v>
      </c>
      <c r="E60" s="35" t="n">
        <v>700</v>
      </c>
      <c r="F60" s="33" t="inlineStr">
        <is>
          <t>70%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MICROFONE HYPERX QUADCSAT ID: CDBO68746 - N.S.C1W31616NF</t>
        </is>
      </c>
      <c r="D61" s="31" t="n">
        <v>700</v>
      </c>
      <c r="E61" s="31" t="n">
        <v>700</v>
      </c>
      <c r="F61" s="29" t="inlineStr">
        <is>
          <t>80%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MICROFONE HYPERX QUADCSAT ID: CDBO68746 - N.S.C1W31616L7</t>
        </is>
      </c>
      <c r="D62" s="35" t="n">
        <v>700</v>
      </c>
      <c r="E62" s="35" t="n">
        <v>700</v>
      </c>
      <c r="F62" s="33" t="inlineStr">
        <is>
          <t>80%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MICROFONE HYPERX QUADCSAT ID: CDBO68746 - N.S.C1W3161FBH</t>
        </is>
      </c>
      <c r="D63" s="31" t="n">
        <v>700</v>
      </c>
      <c r="E63" s="31" t="n">
        <v>700</v>
      </c>
      <c r="F63" s="29" t="inlineStr">
        <is>
          <t>80%</t>
        </is>
      </c>
      <c r="G63" s="32" t="inlineStr">
        <is>
          <t>ver no ML</t>
        </is>
      </c>
    </row>
    <row r="64">
      <c r="A64" s="33" t="n">
        <v>54</v>
      </c>
      <c r="B64" s="33" t="n">
        <v>1</v>
      </c>
      <c r="C64" s="34" t="inlineStr">
        <is>
          <t>MICROFONE HYPERX QUADCSAT ID: CDBO68746 - N.S.C1W30618MZ</t>
        </is>
      </c>
      <c r="D64" s="35" t="n">
        <v>700</v>
      </c>
      <c r="E64" s="35" t="n">
        <v>700</v>
      </c>
      <c r="F64" s="33" t="inlineStr">
        <is>
          <t>80%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MICROFONE HYPERX QUADCSAT ID: CDBO68746 - N.S.C1W3172GW4</t>
        </is>
      </c>
      <c r="D65" s="31" t="n">
        <v>700</v>
      </c>
      <c r="E65" s="31" t="n">
        <v>700</v>
      </c>
      <c r="F65" s="29" t="inlineStr">
        <is>
          <t>80%</t>
        </is>
      </c>
      <c r="G65" s="32" t="inlineStr">
        <is>
          <t>ver no ML</t>
        </is>
      </c>
    </row>
    <row r="66">
      <c r="A66" s="33" t="n">
        <v>56</v>
      </c>
      <c r="B66" s="33" t="n">
        <v>1</v>
      </c>
      <c r="C66" s="34" t="inlineStr">
        <is>
          <t>MICROFONE HYPERX QUADCSAT ID: CDBO68746 - N.S.C1W3161FL8</t>
        </is>
      </c>
      <c r="D66" s="35" t="n">
        <v>700</v>
      </c>
      <c r="E66" s="35" t="n">
        <v>700</v>
      </c>
      <c r="F66" s="33" t="inlineStr">
        <is>
          <t>80%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MICROFONE HYPERX QUADCSAT ID: CDBO68746 - N.S.C1W31616L4</t>
        </is>
      </c>
      <c r="D67" s="31" t="n">
        <v>700</v>
      </c>
      <c r="E67" s="31" t="n">
        <v>700</v>
      </c>
      <c r="F67" s="29" t="inlineStr">
        <is>
          <t>80%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MICROFONE HYPERX QUADCSAT ID: CDBO68746 - N.S.C1W31616L9</t>
        </is>
      </c>
      <c r="D68" s="35" t="n">
        <v>700</v>
      </c>
      <c r="E68" s="35" t="n">
        <v>700</v>
      </c>
      <c r="F68" s="33" t="inlineStr">
        <is>
          <t>80%</t>
        </is>
      </c>
      <c r="G68" s="32" t="inlineStr">
        <is>
          <t>ver no ML</t>
        </is>
      </c>
    </row>
    <row r="69">
      <c r="A69" s="29" t="n">
        <v>59</v>
      </c>
      <c r="B69" s="29" t="n">
        <v>1</v>
      </c>
      <c r="C69" s="30" t="inlineStr">
        <is>
          <t>MICROFONE HYPERX QUADCSAT ID: CDBO68746 - N.S.C1W3172GMX</t>
        </is>
      </c>
      <c r="D69" s="31" t="n">
        <v>700</v>
      </c>
      <c r="E69" s="31" t="n">
        <v>700</v>
      </c>
      <c r="F69" s="29" t="inlineStr">
        <is>
          <t>80%</t>
        </is>
      </c>
      <c r="G69" s="32" t="inlineStr">
        <is>
          <t>ver no ML</t>
        </is>
      </c>
    </row>
    <row r="70">
      <c r="A70" s="33" t="n">
        <v>60</v>
      </c>
      <c r="B70" s="33" t="n">
        <v>1</v>
      </c>
      <c r="C70" s="34" t="inlineStr">
        <is>
          <t>MICROFONE HYPERX QUADCSAT ID: CDBO68746 - N.S.C1W31619SJ</t>
        </is>
      </c>
      <c r="D70" s="35" t="n">
        <v>700</v>
      </c>
      <c r="E70" s="35" t="n">
        <v>700</v>
      </c>
      <c r="F70" s="33" t="inlineStr">
        <is>
          <t>80%</t>
        </is>
      </c>
      <c r="G70" s="32" t="inlineStr">
        <is>
          <t>ver no ML</t>
        </is>
      </c>
    </row>
    <row r="71">
      <c r="A71" s="29" t="n">
        <v>61</v>
      </c>
      <c r="B71" s="29" t="n">
        <v>1</v>
      </c>
      <c r="C71" s="30" t="inlineStr">
        <is>
          <t>MICROFONE HYPERX QUADCSAT ID: CDBO68746 - N.S. C1W3161B5J</t>
        </is>
      </c>
      <c r="D71" s="31" t="n">
        <v>700</v>
      </c>
      <c r="E71" s="31" t="n">
        <v>700</v>
      </c>
      <c r="F71" s="29" t="inlineStr">
        <is>
          <t>80%</t>
        </is>
      </c>
      <c r="G71" s="32" t="inlineStr">
        <is>
          <t>ver no ML</t>
        </is>
      </c>
    </row>
    <row r="72">
      <c r="A72" s="33" t="n">
        <v>62</v>
      </c>
      <c r="B72" s="33" t="n">
        <v>1</v>
      </c>
      <c r="C72" s="34" t="inlineStr">
        <is>
          <t>MICROFONE HYPERX QUADCSAT ID: CDBO68746 - N.S. C1W31616NW</t>
        </is>
      </c>
      <c r="D72" s="35" t="n">
        <v>700</v>
      </c>
      <c r="E72" s="35" t="n">
        <v>700</v>
      </c>
      <c r="F72" s="33" t="inlineStr">
        <is>
          <t>80%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MICROFONE HYPERX QUADCSAT ID: CDBO68746 - N.S. C1W3161FKW</t>
        </is>
      </c>
      <c r="D73" s="31" t="n">
        <v>700</v>
      </c>
      <c r="E73" s="31" t="n">
        <v>700</v>
      </c>
      <c r="F73" s="29" t="inlineStr">
        <is>
          <t>80%</t>
        </is>
      </c>
      <c r="G73" s="32" t="inlineStr">
        <is>
          <t>ver no ML</t>
        </is>
      </c>
    </row>
    <row r="74">
      <c r="A74" s="33" t="n">
        <v>64</v>
      </c>
      <c r="B74" s="33" t="n">
        <v>1</v>
      </c>
      <c r="C74" s="34" t="inlineStr">
        <is>
          <t>MICROFONE HYPERX QUADCSAT ID: CDBO68746 - N.S. C1W3161FL2</t>
        </is>
      </c>
      <c r="D74" s="35" t="n">
        <v>700</v>
      </c>
      <c r="E74" s="35" t="n">
        <v>700</v>
      </c>
      <c r="F74" s="33" t="inlineStr">
        <is>
          <t>80%</t>
        </is>
      </c>
      <c r="G74" s="32" t="inlineStr">
        <is>
          <t>ver no ML</t>
        </is>
      </c>
    </row>
    <row r="75">
      <c r="A75" s="29" t="n">
        <v>65</v>
      </c>
      <c r="B75" s="29" t="n">
        <v>1</v>
      </c>
      <c r="C75" s="30" t="inlineStr">
        <is>
          <t>MICROFONE HYPERX QUADCSAT ID: CDBO68746 - N.S. C1W31616KW</t>
        </is>
      </c>
      <c r="D75" s="31" t="n">
        <v>700</v>
      </c>
      <c r="E75" s="31" t="n">
        <v>700</v>
      </c>
      <c r="F75" s="29" t="inlineStr">
        <is>
          <t>80%</t>
        </is>
      </c>
      <c r="G75" s="32" t="inlineStr">
        <is>
          <t>ver no ML</t>
        </is>
      </c>
    </row>
    <row r="76">
      <c r="A76" s="33" t="n">
        <v>66</v>
      </c>
      <c r="B76" s="33" t="n">
        <v>1</v>
      </c>
      <c r="C76" s="34" t="inlineStr">
        <is>
          <t>MICROFONE HYPERX QUADCSAT ID: CDBO68746 - N.S. C1W2520GZS</t>
        </is>
      </c>
      <c r="D76" s="35" t="n">
        <v>700</v>
      </c>
      <c r="E76" s="35" t="n">
        <v>700</v>
      </c>
      <c r="F76" s="33" t="inlineStr">
        <is>
          <t>80%</t>
        </is>
      </c>
      <c r="G76" s="32" t="inlineStr">
        <is>
          <t>ver no ML</t>
        </is>
      </c>
    </row>
    <row r="77">
      <c r="A77" s="29" t="n">
        <v>67</v>
      </c>
      <c r="B77" s="29" t="n">
        <v>1</v>
      </c>
      <c r="C77" s="30" t="inlineStr">
        <is>
          <t>MICROFONE HYPERX QUADCSAT ID: CDBO68746 - N.S. C1W3161F7Q</t>
        </is>
      </c>
      <c r="D77" s="31" t="n">
        <v>700</v>
      </c>
      <c r="E77" s="31" t="n">
        <v>700</v>
      </c>
      <c r="F77" s="29" t="inlineStr">
        <is>
          <t>80%</t>
        </is>
      </c>
      <c r="G77" s="32" t="inlineStr">
        <is>
          <t>ver no ML</t>
        </is>
      </c>
    </row>
    <row r="78">
      <c r="A78" s="33" t="n">
        <v>68</v>
      </c>
      <c r="B78" s="33" t="n">
        <v>1</v>
      </c>
      <c r="C78" s="34" t="inlineStr">
        <is>
          <t>MICROFONE HYPERX QUADCSAT ID: CDBO68746 - N.S. C1W3161F5D</t>
        </is>
      </c>
      <c r="D78" s="35" t="n">
        <v>700</v>
      </c>
      <c r="E78" s="35" t="n">
        <v>700</v>
      </c>
      <c r="F78" s="33" t="inlineStr">
        <is>
          <t>80%</t>
        </is>
      </c>
      <c r="G78" s="32" t="inlineStr">
        <is>
          <t>ver no ML</t>
        </is>
      </c>
    </row>
    <row r="79">
      <c r="A79" s="29" t="n">
        <v>69</v>
      </c>
      <c r="B79" s="29" t="n">
        <v>1</v>
      </c>
      <c r="C79" s="30" t="inlineStr">
        <is>
          <t>MICROFONE HYPERX QUADCSAT ID: CDBO68746 - N.S. C1W31102MN</t>
        </is>
      </c>
      <c r="D79" s="31" t="n">
        <v>700</v>
      </c>
      <c r="E79" s="31" t="n">
        <v>700</v>
      </c>
      <c r="F79" s="29" t="inlineStr">
        <is>
          <t>80%</t>
        </is>
      </c>
      <c r="G79" s="32" t="inlineStr">
        <is>
          <t>ver no ML</t>
        </is>
      </c>
    </row>
    <row r="80">
      <c r="A80" s="33" t="n">
        <v>70</v>
      </c>
      <c r="B80" s="33" t="n">
        <v>1</v>
      </c>
      <c r="C80" s="34" t="inlineStr">
        <is>
          <t>MICROFONE HYPERX QUADCSAT ID: CDBO68746 - N.S. C1W3161F7S</t>
        </is>
      </c>
      <c r="D80" s="35" t="n">
        <v>700</v>
      </c>
      <c r="E80" s="35" t="n">
        <v>700</v>
      </c>
      <c r="F80" s="33" t="inlineStr">
        <is>
          <t>80%</t>
        </is>
      </c>
      <c r="G80" s="32" t="inlineStr">
        <is>
          <t>ver no ML</t>
        </is>
      </c>
    </row>
    <row r="81">
      <c r="A81" s="29" t="n">
        <v>71</v>
      </c>
      <c r="B81" s="29" t="n">
        <v>1</v>
      </c>
      <c r="C81" s="30" t="inlineStr">
        <is>
          <t>MICROFONE HYPERX QUADCSAT ID: CDBO68746 - N.S. C1W31619T6</t>
        </is>
      </c>
      <c r="D81" s="31" t="n">
        <v>700</v>
      </c>
      <c r="E81" s="31" t="n">
        <v>700</v>
      </c>
      <c r="F81" s="29" t="inlineStr">
        <is>
          <t>80%</t>
        </is>
      </c>
      <c r="G81" s="32" t="inlineStr">
        <is>
          <t>ver no ML</t>
        </is>
      </c>
    </row>
    <row r="82">
      <c r="A82" s="33" t="n">
        <v>72</v>
      </c>
      <c r="B82" s="33" t="n">
        <v>1</v>
      </c>
      <c r="C82" s="34" t="inlineStr">
        <is>
          <t>MICROFONE HYPERX QUADCSAT ID: CDBO68746 - N.S. C1W3161F5Y</t>
        </is>
      </c>
      <c r="D82" s="35" t="n">
        <v>700</v>
      </c>
      <c r="E82" s="35" t="n">
        <v>700</v>
      </c>
      <c r="F82" s="33" t="inlineStr">
        <is>
          <t>80%</t>
        </is>
      </c>
      <c r="G82" s="32" t="inlineStr">
        <is>
          <t>ver no ML</t>
        </is>
      </c>
    </row>
    <row r="83">
      <c r="A83" s="29" t="n">
        <v>73</v>
      </c>
      <c r="B83" s="29" t="n">
        <v>1</v>
      </c>
      <c r="C83" s="30" t="inlineStr">
        <is>
          <t>MICROFONE HYPERX QUADCSAT ID: CDBO68746 - N.S. C1W3172GMY</t>
        </is>
      </c>
      <c r="D83" s="31" t="n">
        <v>700</v>
      </c>
      <c r="E83" s="31" t="n">
        <v>700</v>
      </c>
      <c r="F83" s="29" t="inlineStr">
        <is>
          <t>80%</t>
        </is>
      </c>
      <c r="G83" s="32" t="inlineStr">
        <is>
          <t>ver no ML</t>
        </is>
      </c>
    </row>
    <row r="84">
      <c r="A84" s="33" t="n">
        <v>74</v>
      </c>
      <c r="B84" s="33" t="n">
        <v>1</v>
      </c>
      <c r="C84" s="34" t="inlineStr">
        <is>
          <t>MICROFONE HYPERX QUADCSAT ID: CDBO68746 - N.S. C1W3172GVW</t>
        </is>
      </c>
      <c r="D84" s="35" t="n">
        <v>700</v>
      </c>
      <c r="E84" s="35" t="n">
        <v>700</v>
      </c>
      <c r="F84" s="33" t="inlineStr">
        <is>
          <t>80%</t>
        </is>
      </c>
      <c r="G84" s="32" t="inlineStr">
        <is>
          <t>ver no ML</t>
        </is>
      </c>
    </row>
    <row r="85">
      <c r="A85" s="29" t="n">
        <v>75</v>
      </c>
      <c r="B85" s="29" t="n">
        <v>1</v>
      </c>
      <c r="C85" s="30" t="inlineStr">
        <is>
          <t>MICROFONE HYPERX QUADCSAT ID: CDBO68746 - N.S. C1W3172GMV</t>
        </is>
      </c>
      <c r="D85" s="31" t="n">
        <v>700</v>
      </c>
      <c r="E85" s="31" t="n">
        <v>700</v>
      </c>
      <c r="F85" s="29" t="inlineStr">
        <is>
          <t>80%</t>
        </is>
      </c>
      <c r="G85" s="32" t="inlineStr">
        <is>
          <t>ver no ML</t>
        </is>
      </c>
    </row>
    <row r="86">
      <c r="A86" s="33" t="n">
        <v>76</v>
      </c>
      <c r="B86" s="33" t="n">
        <v>1</v>
      </c>
      <c r="C86" s="34" t="inlineStr">
        <is>
          <t>MICROFONE HYPERX QUADCSAT ID: CDBO68746 - N.S. C1W3172GN0</t>
        </is>
      </c>
      <c r="D86" s="35" t="n">
        <v>700</v>
      </c>
      <c r="E86" s="35" t="n">
        <v>700</v>
      </c>
      <c r="F86" s="33" t="inlineStr">
        <is>
          <t>80%</t>
        </is>
      </c>
      <c r="G86" s="32" t="inlineStr">
        <is>
          <t>ver no ML</t>
        </is>
      </c>
    </row>
    <row r="87">
      <c r="A87" s="29" t="n">
        <v>77</v>
      </c>
      <c r="B87" s="29" t="n">
        <v>1</v>
      </c>
      <c r="C87" s="30" t="inlineStr">
        <is>
          <t>ACESS DE SOM BEHRINGER UMC202HD N.S. S210402259BJZ</t>
        </is>
      </c>
      <c r="D87" s="31" t="n">
        <v>600</v>
      </c>
      <c r="E87" s="31" t="n">
        <v>600</v>
      </c>
      <c r="F87" s="29" t="inlineStr">
        <is>
          <t>70%</t>
        </is>
      </c>
      <c r="G87" s="32" t="inlineStr">
        <is>
          <t>ver no ML</t>
        </is>
      </c>
    </row>
    <row r="88">
      <c r="A88" s="33" t="n">
        <v>78</v>
      </c>
      <c r="B88" s="33" t="n">
        <v>1</v>
      </c>
      <c r="C88" s="34" t="inlineStr">
        <is>
          <t>ALTO FALANTE JBL CHARGE5 ID:IIOF90574 - S/N:TL1126-AO0807821</t>
        </is>
      </c>
      <c r="D88" s="35" t="n">
        <v>580</v>
      </c>
      <c r="E88" s="35" t="n">
        <v>580</v>
      </c>
      <c r="F88" s="33" t="inlineStr">
        <is>
          <t>75%</t>
        </is>
      </c>
      <c r="G88" s="32" t="inlineStr">
        <is>
          <t>ver no ML</t>
        </is>
      </c>
    </row>
    <row r="89">
      <c r="A89" s="29" t="n">
        <v>79</v>
      </c>
      <c r="B89" s="29" t="n">
        <v>1</v>
      </c>
      <c r="C89" s="30" t="inlineStr">
        <is>
          <t>ALTO FALANTE JBL CHARGE5 ID:IIOF90574 - S/N:TL1126-KN0788543</t>
        </is>
      </c>
      <c r="D89" s="31" t="n">
        <v>580</v>
      </c>
      <c r="E89" s="31" t="n">
        <v>580</v>
      </c>
      <c r="F89" s="29" t="inlineStr">
        <is>
          <t>75%</t>
        </is>
      </c>
      <c r="G89" s="32" t="inlineStr">
        <is>
          <t>ver no ML</t>
        </is>
      </c>
    </row>
    <row r="90">
      <c r="A90" s="33" t="n">
        <v>80</v>
      </c>
      <c r="B90" s="33" t="n">
        <v>1</v>
      </c>
      <c r="C90" s="34" t="inlineStr">
        <is>
          <t>ALTO FALANTE JBL CHARGE5 ID:IIOF90574 - S/N:TL1126-AO0807822</t>
        </is>
      </c>
      <c r="D90" s="35" t="n">
        <v>580</v>
      </c>
      <c r="E90" s="35" t="n">
        <v>580</v>
      </c>
      <c r="F90" s="33" t="inlineStr">
        <is>
          <t>75%</t>
        </is>
      </c>
      <c r="G90" s="32" t="inlineStr">
        <is>
          <t>ver no ML</t>
        </is>
      </c>
    </row>
    <row r="91">
      <c r="A91" s="29" t="n">
        <v>81</v>
      </c>
      <c r="B91" s="29" t="n">
        <v>1</v>
      </c>
      <c r="C91" s="30" t="inlineStr">
        <is>
          <t>ALTO FALANTE JBL CHARGE5 ID:IIOF90574 - S/N:TL1126-AO0807884</t>
        </is>
      </c>
      <c r="D91" s="31" t="n">
        <v>580</v>
      </c>
      <c r="E91" s="31" t="n">
        <v>580</v>
      </c>
      <c r="F91" s="29" t="inlineStr">
        <is>
          <t>75%</t>
        </is>
      </c>
      <c r="G91" s="32" t="inlineStr">
        <is>
          <t>ver no ML</t>
        </is>
      </c>
    </row>
    <row r="92">
      <c r="A92" s="33" t="n">
        <v>82</v>
      </c>
      <c r="B92" s="33" t="n">
        <v>1</v>
      </c>
      <c r="C92" s="34" t="inlineStr">
        <is>
          <t>FONE DE OUVIDO AUDIO-TECHNICA ATH-M40X N.S. 233309001318</t>
        </is>
      </c>
      <c r="D92" s="35" t="n">
        <v>560</v>
      </c>
      <c r="E92" s="35" t="n">
        <v>560</v>
      </c>
      <c r="F92" s="33" t="inlineStr">
        <is>
          <t>75%</t>
        </is>
      </c>
      <c r="G92" s="32" t="inlineStr">
        <is>
          <t>ver no ML</t>
        </is>
      </c>
    </row>
    <row r="93">
      <c r="A93" s="29" t="n">
        <v>83</v>
      </c>
      <c r="B93" s="29" t="n">
        <v>1</v>
      </c>
      <c r="C93" s="30" t="inlineStr">
        <is>
          <t>CAIXA ACUSTICA JBL CHARGE 5 ID 43279433874 - SN NT0062-LM0181431</t>
        </is>
      </c>
      <c r="D93" s="31" t="n">
        <v>550</v>
      </c>
      <c r="E93" s="31" t="n">
        <v>550</v>
      </c>
      <c r="F93" s="29" t="inlineStr">
        <is>
          <t>75%</t>
        </is>
      </c>
      <c r="G93" s="32" t="inlineStr">
        <is>
          <t>ver no ML</t>
        </is>
      </c>
    </row>
    <row r="94">
      <c r="A94" s="33" t="n">
        <v>84</v>
      </c>
      <c r="B94" s="33" t="n">
        <v>1</v>
      </c>
      <c r="C94" s="34" t="inlineStr">
        <is>
          <t>CAIXA ACUSTICA INTELIGENTE AMAZON ALEXA ECHO SHOW 8 ID 43274280637 - SN G6G1GG10235200QQ</t>
        </is>
      </c>
      <c r="D94" s="35" t="n">
        <v>550</v>
      </c>
      <c r="E94" s="35" t="n">
        <v>550</v>
      </c>
      <c r="F94" s="33" t="inlineStr">
        <is>
          <t>70%</t>
        </is>
      </c>
      <c r="G94" s="32" t="inlineStr">
        <is>
          <t>ver no ML</t>
        </is>
      </c>
    </row>
    <row r="95">
      <c r="A95" s="29" t="n">
        <v>85</v>
      </c>
      <c r="B95" s="29" t="n">
        <v>1</v>
      </c>
      <c r="C95" s="30" t="inlineStr">
        <is>
          <t>CAIXA ACUSTICA INTELIGENTE AMAZON ALEXA ECHO SHOW 8 ID 43274806258 - SN G091GG10216507FV</t>
        </is>
      </c>
      <c r="D95" s="31" t="n">
        <v>550</v>
      </c>
      <c r="E95" s="31" t="n">
        <v>550</v>
      </c>
      <c r="F95" s="29" t="inlineStr">
        <is>
          <t>70%</t>
        </is>
      </c>
      <c r="G95" s="32" t="inlineStr">
        <is>
          <t>ver no ML</t>
        </is>
      </c>
    </row>
    <row r="96">
      <c r="A96" s="33" t="n">
        <v>86</v>
      </c>
      <c r="B96" s="33" t="n">
        <v>1</v>
      </c>
      <c r="C96" s="34" t="inlineStr">
        <is>
          <t>CAIXA ACUSTICA MULTIMIDIA AMAZON - ALEXA ECHO SHOW 8 ID:RIDI19733 - S/N:G6G1GM10253401VX</t>
        </is>
      </c>
      <c r="D96" s="35" t="n">
        <v>550</v>
      </c>
      <c r="E96" s="35" t="n">
        <v>550</v>
      </c>
      <c r="F96" s="33" t="inlineStr">
        <is>
          <t>70%</t>
        </is>
      </c>
      <c r="G96" s="32" t="inlineStr">
        <is>
          <t>ver no ML</t>
        </is>
      </c>
    </row>
    <row r="97">
      <c r="A97" s="29" t="n">
        <v>87</v>
      </c>
      <c r="B97" s="29" t="n">
        <v>1</v>
      </c>
      <c r="C97" s="30" t="inlineStr">
        <is>
          <t>CAIXA ACUSTICA MULTIMIDIA AMAZON - ALEXA ECHO SHOW 8 ID:RIDI19733 - S/N:G6G1GM10246701BL</t>
        </is>
      </c>
      <c r="D97" s="31" t="n">
        <v>550</v>
      </c>
      <c r="E97" s="31" t="n">
        <v>550</v>
      </c>
      <c r="F97" s="29" t="inlineStr">
        <is>
          <t>70%</t>
        </is>
      </c>
      <c r="G97" s="32" t="inlineStr">
        <is>
          <t>ver no ML</t>
        </is>
      </c>
    </row>
    <row r="98">
      <c r="A98" s="33" t="n">
        <v>88</v>
      </c>
      <c r="B98" s="33" t="n">
        <v>1</v>
      </c>
      <c r="C98" s="34" t="inlineStr">
        <is>
          <t>ALTO FALANTE JBL CHARGE 5 ID:HSXK19094 -S/N:NT0062-GN0264502</t>
        </is>
      </c>
      <c r="D98" s="35" t="n">
        <v>550</v>
      </c>
      <c r="E98" s="35" t="n">
        <v>550</v>
      </c>
      <c r="F98" s="33" t="inlineStr">
        <is>
          <t>75%</t>
        </is>
      </c>
      <c r="G98" s="32" t="inlineStr">
        <is>
          <t>ver no ML</t>
        </is>
      </c>
    </row>
    <row r="99">
      <c r="A99" s="29" t="n">
        <v>89</v>
      </c>
      <c r="B99" s="29" t="n">
        <v>1</v>
      </c>
      <c r="C99" s="30" t="inlineStr">
        <is>
          <t>ALTO FALANTE JBL CHARGE 5 ID:CFYL24397 - S/N:NT0060-IN0314137</t>
        </is>
      </c>
      <c r="D99" s="31" t="n">
        <v>550</v>
      </c>
      <c r="E99" s="31" t="n">
        <v>550</v>
      </c>
      <c r="F99" s="29" t="inlineStr">
        <is>
          <t>75%</t>
        </is>
      </c>
      <c r="G99" s="32" t="inlineStr">
        <is>
          <t>ver no ML</t>
        </is>
      </c>
    </row>
    <row r="100">
      <c r="A100" s="33" t="n">
        <v>90</v>
      </c>
      <c r="B100" s="33" t="n">
        <v>1</v>
      </c>
      <c r="C100" s="34" t="inlineStr">
        <is>
          <t>ALTO FALANTE JBL CHARGE 5 ID:RHLB18149 - S/N:TT0054-IN0389566</t>
        </is>
      </c>
      <c r="D100" s="35" t="n">
        <v>550</v>
      </c>
      <c r="E100" s="35" t="n">
        <v>550</v>
      </c>
      <c r="F100" s="33" t="inlineStr">
        <is>
          <t>75%</t>
        </is>
      </c>
      <c r="G100" s="32" t="inlineStr">
        <is>
          <t>ver no ML</t>
        </is>
      </c>
    </row>
    <row r="101">
      <c r="A101" s="29" t="n">
        <v>91</v>
      </c>
      <c r="B101" s="29" t="n">
        <v>1</v>
      </c>
      <c r="C101" s="30" t="inlineStr">
        <is>
          <t>ALTO FALANTE JBL CHARGE 5 ID:EYBH20759 - S/N:TL1239-GN0144131</t>
        </is>
      </c>
      <c r="D101" s="31" t="n">
        <v>550</v>
      </c>
      <c r="E101" s="31" t="n">
        <v>550</v>
      </c>
      <c r="F101" s="29" t="inlineStr">
        <is>
          <t>75%</t>
        </is>
      </c>
      <c r="G101" s="32" t="inlineStr">
        <is>
          <t>ver no ML</t>
        </is>
      </c>
    </row>
    <row r="102">
      <c r="A102" s="33" t="n">
        <v>92</v>
      </c>
      <c r="B102" s="33" t="n">
        <v>1</v>
      </c>
      <c r="C102" s="34" t="inlineStr">
        <is>
          <t>ALTO FALANTE JBL CHARGE 5 ID:EYBH20759 - S/N:NT0059-IN0665867</t>
        </is>
      </c>
      <c r="D102" s="35" t="n">
        <v>550</v>
      </c>
      <c r="E102" s="35" t="n">
        <v>550</v>
      </c>
      <c r="F102" s="33" t="inlineStr">
        <is>
          <t>75%</t>
        </is>
      </c>
      <c r="G102" s="32" t="inlineStr">
        <is>
          <t>ver no ML</t>
        </is>
      </c>
    </row>
    <row r="103">
      <c r="A103" s="29" t="n">
        <v>93</v>
      </c>
      <c r="B103" s="29" t="n">
        <v>1</v>
      </c>
      <c r="C103" s="30" t="inlineStr">
        <is>
          <t>FONE DE OUVIDO C/MICROFON RAZER KAIRA PRO - PLAYSTATION ID:SFGU50658 - S/N:HN2217D20202395</t>
        </is>
      </c>
      <c r="D103" s="31" t="n">
        <v>550</v>
      </c>
      <c r="E103" s="31" t="n">
        <v>550</v>
      </c>
      <c r="F103" s="29" t="inlineStr">
        <is>
          <t>65%</t>
        </is>
      </c>
      <c r="G103" s="32" t="inlineStr">
        <is>
          <t>ver no ML</t>
        </is>
      </c>
    </row>
    <row r="104">
      <c r="A104" s="33" t="n">
        <v>94</v>
      </c>
      <c r="B104" s="33" t="n">
        <v>1</v>
      </c>
      <c r="C104" s="34" t="inlineStr">
        <is>
          <t>CAIXA ACUSTICA INTELIGENTE JBL CHARGE 5 ID:RHLB18149 - S/N:TT0054-JN0397730</t>
        </is>
      </c>
      <c r="D104" s="35" t="n">
        <v>550</v>
      </c>
      <c r="E104" s="35" t="n">
        <v>550</v>
      </c>
      <c r="F104" s="33" t="inlineStr">
        <is>
          <t>75%</t>
        </is>
      </c>
      <c r="G104" s="32" t="inlineStr">
        <is>
          <t>ver no ML</t>
        </is>
      </c>
    </row>
    <row r="105">
      <c r="A105" s="29" t="n">
        <v>95</v>
      </c>
      <c r="B105" s="29" t="n">
        <v>1</v>
      </c>
      <c r="C105" s="30" t="inlineStr">
        <is>
          <t>FONE DE OUVIDO C/MICROFON RAZER KAIRA PRO - PLAYSTATION ID:SFGU50658 - S/N:HN2209D20201224</t>
        </is>
      </c>
      <c r="D105" s="31" t="n">
        <v>550</v>
      </c>
      <c r="E105" s="31" t="n">
        <v>550</v>
      </c>
      <c r="F105" s="29" t="inlineStr">
        <is>
          <t>65%</t>
        </is>
      </c>
      <c r="G105" s="32" t="inlineStr">
        <is>
          <t>ver no ML</t>
        </is>
      </c>
    </row>
    <row r="106">
      <c r="A106" s="33" t="n">
        <v>96</v>
      </c>
      <c r="B106" s="33" t="n">
        <v>1</v>
      </c>
      <c r="C106" s="34" t="inlineStr">
        <is>
          <t>CAIXA ACUSTICA INTELIGENTE JBL CHARGE 5 ID:HSXK19094 - S/N:NT0062-HN0274948</t>
        </is>
      </c>
      <c r="D106" s="35" t="n">
        <v>550</v>
      </c>
      <c r="E106" s="35" t="n">
        <v>550</v>
      </c>
      <c r="F106" s="33" t="inlineStr">
        <is>
          <t>75%</t>
        </is>
      </c>
      <c r="G106" s="32" t="inlineStr">
        <is>
          <t>ver no ML</t>
        </is>
      </c>
    </row>
    <row r="107">
      <c r="A107" s="29" t="n">
        <v>97</v>
      </c>
      <c r="B107" s="29" t="n">
        <v>1</v>
      </c>
      <c r="C107" s="30" t="inlineStr">
        <is>
          <t>FONE DE OUVIDO C/MICROFON RAZER KAIRA PRO - PLAYSTATION ID:SFGU50658 - S/N:HN2217D20202523</t>
        </is>
      </c>
      <c r="D107" s="31" t="n">
        <v>550</v>
      </c>
      <c r="E107" s="31" t="n">
        <v>550</v>
      </c>
      <c r="F107" s="29" t="inlineStr">
        <is>
          <t>65%</t>
        </is>
      </c>
      <c r="G107" s="32" t="inlineStr">
        <is>
          <t>ver no ML</t>
        </is>
      </c>
    </row>
    <row r="108">
      <c r="A108" s="33" t="n">
        <v>98</v>
      </c>
      <c r="B108" s="33" t="n">
        <v>1</v>
      </c>
      <c r="C108" s="34" t="inlineStr">
        <is>
          <t>FONE DE OUVIDO C/MICROFON RAZER KAIRA PRO - PLAYSTATION ID:SFGU50658 - S/N:HN2217D20202125</t>
        </is>
      </c>
      <c r="D108" s="35" t="n">
        <v>550</v>
      </c>
      <c r="E108" s="35" t="n">
        <v>550</v>
      </c>
      <c r="F108" s="33" t="inlineStr">
        <is>
          <t>65%</t>
        </is>
      </c>
      <c r="G108" s="32" t="inlineStr">
        <is>
          <t>ver no ML</t>
        </is>
      </c>
    </row>
    <row r="109">
      <c r="A109" s="29" t="n">
        <v>99</v>
      </c>
      <c r="B109" s="29" t="n">
        <v>1</v>
      </c>
      <c r="C109" s="30" t="inlineStr">
        <is>
          <t>CAIXA ACUSTICA MULTIMIDIA AMAZON ECHO SHOW 8 - ALEXA ID:PELR10618 - S/N:G6G1GG10306502QP</t>
        </is>
      </c>
      <c r="D109" s="31" t="n">
        <v>550</v>
      </c>
      <c r="E109" s="31" t="n">
        <v>550</v>
      </c>
      <c r="F109" s="29" t="inlineStr">
        <is>
          <t>70%</t>
        </is>
      </c>
      <c r="G109" s="32" t="inlineStr">
        <is>
          <t>ver no ML</t>
        </is>
      </c>
    </row>
    <row r="110">
      <c r="A110" s="33" t="n">
        <v>100</v>
      </c>
      <c r="B110" s="33" t="n">
        <v>1</v>
      </c>
      <c r="C110" s="34" t="inlineStr">
        <is>
          <t>ACESS DE SOM ELGATO STREAM DECK N.S. A00WA4081J1LN2</t>
        </is>
      </c>
      <c r="D110" s="35" t="n">
        <v>500</v>
      </c>
      <c r="E110" s="35" t="n">
        <v>500</v>
      </c>
      <c r="F110" s="33" t="inlineStr">
        <is>
          <t>70%</t>
        </is>
      </c>
      <c r="G110" s="32" t="inlineStr">
        <is>
          <t>ver no ML</t>
        </is>
      </c>
    </row>
    <row r="111">
      <c r="A111" s="29" t="n">
        <v>101</v>
      </c>
      <c r="B111" s="29" t="n">
        <v>3</v>
      </c>
      <c r="C111" s="30" t="inlineStr">
        <is>
          <t>CAIXA ACUSTICA INTELIGENTE ALEXA ECHODOT</t>
        </is>
      </c>
      <c r="D111" s="31" t="n">
        <v>160</v>
      </c>
      <c r="E111" s="31" t="n">
        <v>480</v>
      </c>
      <c r="F111" s="29" t="inlineStr">
        <is>
          <t>65%</t>
        </is>
      </c>
      <c r="G111" s="32" t="inlineStr">
        <is>
          <t>ver no ML</t>
        </is>
      </c>
    </row>
    <row r="112">
      <c r="A112" s="33" t="n">
        <v>102</v>
      </c>
      <c r="B112" s="33" t="n">
        <v>1</v>
      </c>
      <c r="C112" s="34" t="inlineStr">
        <is>
          <t>MICROFONE AUDIO-TECHNICA AT2020 N.S. 6940548416526</t>
        </is>
      </c>
      <c r="D112" s="35" t="n">
        <v>480</v>
      </c>
      <c r="E112" s="35" t="n">
        <v>480</v>
      </c>
      <c r="F112" s="33" t="inlineStr">
        <is>
          <t>70%</t>
        </is>
      </c>
      <c r="G112" s="32" t="inlineStr">
        <is>
          <t>ver no ML</t>
        </is>
      </c>
    </row>
    <row r="113">
      <c r="A113" s="29" t="n">
        <v>103</v>
      </c>
      <c r="B113" s="29" t="n">
        <v>1</v>
      </c>
      <c r="C113" s="30" t="inlineStr">
        <is>
          <t>PEDAL PARA INSTR. MUSICAL ZOOM MS-50G N.S. 104913</t>
        </is>
      </c>
      <c r="D113" s="31" t="n">
        <v>480</v>
      </c>
      <c r="E113" s="31" t="n">
        <v>480</v>
      </c>
      <c r="F113" s="29" t="inlineStr">
        <is>
          <t>75%</t>
        </is>
      </c>
      <c r="G113" s="32" t="inlineStr">
        <is>
          <t>ver no ML</t>
        </is>
      </c>
    </row>
    <row r="114">
      <c r="A114" s="33" t="n">
        <v>104</v>
      </c>
      <c r="B114" s="33" t="n">
        <v>1</v>
      </c>
      <c r="C114" s="34" t="inlineStr">
        <is>
          <t>PEDAL PARA INSTR. MUSICAL ZOO, MS-50G N.S. 104918</t>
        </is>
      </c>
      <c r="D114" s="35" t="n">
        <v>480</v>
      </c>
      <c r="E114" s="35" t="n">
        <v>480</v>
      </c>
      <c r="F114" s="33" t="inlineStr">
        <is>
          <t>75%</t>
        </is>
      </c>
      <c r="G114" s="32" t="inlineStr">
        <is>
          <t>ver no ML</t>
        </is>
      </c>
    </row>
    <row r="115">
      <c r="A115" s="29" t="n">
        <v>105</v>
      </c>
      <c r="B115" s="29" t="n">
        <v>1</v>
      </c>
      <c r="C115" s="30" t="inlineStr">
        <is>
          <t>MICROFONE HYPERX QUADCAST ID: CDBO68746 - N.S. C1W3172GMT</t>
        </is>
      </c>
      <c r="D115" s="31" t="n">
        <v>480</v>
      </c>
      <c r="E115" s="31" t="n">
        <v>480</v>
      </c>
      <c r="F115" s="29" t="inlineStr">
        <is>
          <t>80%</t>
        </is>
      </c>
      <c r="G115" s="32" t="inlineStr">
        <is>
          <t>ver no ML</t>
        </is>
      </c>
    </row>
    <row r="116">
      <c r="A116" s="33" t="n">
        <v>106</v>
      </c>
      <c r="B116" s="33" t="n">
        <v>1</v>
      </c>
      <c r="C116" s="34" t="inlineStr">
        <is>
          <t>MICROFONE HYPERX QUADCAST ID: CDBO68746 - N.S. C1W3161676</t>
        </is>
      </c>
      <c r="D116" s="35" t="n">
        <v>480</v>
      </c>
      <c r="E116" s="35" t="n">
        <v>480</v>
      </c>
      <c r="F116" s="33" t="inlineStr">
        <is>
          <t>80%</t>
        </is>
      </c>
      <c r="G116" s="32" t="inlineStr">
        <is>
          <t>ver no ML</t>
        </is>
      </c>
    </row>
    <row r="117">
      <c r="A117" s="29" t="n">
        <v>107</v>
      </c>
      <c r="B117" s="29" t="n">
        <v>1</v>
      </c>
      <c r="C117" s="30" t="inlineStr">
        <is>
          <t>MICROFONE HYPERX QUADCAST ID: CDBO68746 - N.S. C1W3161F5H</t>
        </is>
      </c>
      <c r="D117" s="31" t="n">
        <v>480</v>
      </c>
      <c r="E117" s="31" t="n">
        <v>480</v>
      </c>
      <c r="F117" s="29" t="inlineStr">
        <is>
          <t>80%</t>
        </is>
      </c>
      <c r="G117" s="32" t="inlineStr">
        <is>
          <t>ver no ML</t>
        </is>
      </c>
    </row>
    <row r="118">
      <c r="A118" s="33" t="n">
        <v>108</v>
      </c>
      <c r="B118" s="33" t="n">
        <v>1</v>
      </c>
      <c r="C118" s="34" t="inlineStr">
        <is>
          <t>MICROFONE HYPERX QUADCAST ID: CDBO68746 - N.S. C1W31616LB</t>
        </is>
      </c>
      <c r="D118" s="35" t="n">
        <v>480</v>
      </c>
      <c r="E118" s="35" t="n">
        <v>480</v>
      </c>
      <c r="F118" s="33" t="inlineStr">
        <is>
          <t>80%</t>
        </is>
      </c>
      <c r="G118" s="32" t="inlineStr">
        <is>
          <t>ver no ML</t>
        </is>
      </c>
    </row>
    <row r="119">
      <c r="A119" s="29" t="n">
        <v>109</v>
      </c>
      <c r="B119" s="29" t="n">
        <v>1</v>
      </c>
      <c r="C119" s="30" t="inlineStr">
        <is>
          <t>MICROFONE HYPERX QUADCAST ID: CDBO68746 - N.S. C1W31610LS</t>
        </is>
      </c>
      <c r="D119" s="31" t="n">
        <v>480</v>
      </c>
      <c r="E119" s="31" t="n">
        <v>480</v>
      </c>
      <c r="F119" s="29" t="inlineStr">
        <is>
          <t>80%</t>
        </is>
      </c>
      <c r="G119" s="32" t="inlineStr">
        <is>
          <t>ver no ML</t>
        </is>
      </c>
    </row>
    <row r="120">
      <c r="A120" s="33" t="n">
        <v>110</v>
      </c>
      <c r="B120" s="33" t="n">
        <v>1</v>
      </c>
      <c r="C120" s="34" t="inlineStr">
        <is>
          <t>MICROFONE HYPERX QUADCAST ID: CDBO68746 - N.S. C1W31102MJ</t>
        </is>
      </c>
      <c r="D120" s="35" t="n">
        <v>480</v>
      </c>
      <c r="E120" s="35" t="n">
        <v>480</v>
      </c>
      <c r="F120" s="33" t="inlineStr">
        <is>
          <t>80%</t>
        </is>
      </c>
      <c r="G120" s="32" t="inlineStr">
        <is>
          <t>ver no ML</t>
        </is>
      </c>
    </row>
    <row r="121">
      <c r="A121" s="29" t="n">
        <v>111</v>
      </c>
      <c r="B121" s="29" t="n">
        <v>1</v>
      </c>
      <c r="C121" s="30" t="inlineStr">
        <is>
          <t>MICROFONE HYPERX QUADCAST ID: CDBO68746 - N.S. C1W3161B6L</t>
        </is>
      </c>
      <c r="D121" s="31" t="n">
        <v>480</v>
      </c>
      <c r="E121" s="31" t="n">
        <v>480</v>
      </c>
      <c r="F121" s="29" t="inlineStr">
        <is>
          <t>80%</t>
        </is>
      </c>
      <c r="G121" s="32" t="inlineStr">
        <is>
          <t>ver no ML</t>
        </is>
      </c>
    </row>
    <row r="122">
      <c r="A122" s="33" t="n">
        <v>112</v>
      </c>
      <c r="B122" s="33" t="n">
        <v>1</v>
      </c>
      <c r="C122" s="34" t="inlineStr">
        <is>
          <t>MICROFONE HYPERX QUADCAST ID: CDBO68746 - N.S. C1W2520GGY</t>
        </is>
      </c>
      <c r="D122" s="35" t="n">
        <v>480</v>
      </c>
      <c r="E122" s="35" t="n">
        <v>480</v>
      </c>
      <c r="F122" s="33" t="inlineStr">
        <is>
          <t>80%</t>
        </is>
      </c>
      <c r="G122" s="32" t="inlineStr">
        <is>
          <t>ver no ML</t>
        </is>
      </c>
    </row>
    <row r="123">
      <c r="A123" s="29" t="n">
        <v>113</v>
      </c>
      <c r="B123" s="29" t="n">
        <v>1</v>
      </c>
      <c r="C123" s="30" t="inlineStr">
        <is>
          <t>MICROFONE HYPERX QUADCAST ID: CDBO68746 - N.S. C1W3161F82</t>
        </is>
      </c>
      <c r="D123" s="31" t="n">
        <v>480</v>
      </c>
      <c r="E123" s="31" t="n">
        <v>480</v>
      </c>
      <c r="F123" s="29" t="inlineStr">
        <is>
          <t>80%</t>
        </is>
      </c>
      <c r="G123" s="32" t="inlineStr">
        <is>
          <t>ver no ML</t>
        </is>
      </c>
    </row>
    <row r="124">
      <c r="A124" s="33" t="n">
        <v>114</v>
      </c>
      <c r="B124" s="33" t="n">
        <v>1</v>
      </c>
      <c r="C124" s="34" t="inlineStr">
        <is>
          <t>MICROFONE HYPERX QUADCAST ID: CDBO68746 - N.S. C1W3161B6Q</t>
        </is>
      </c>
      <c r="D124" s="35" t="n">
        <v>480</v>
      </c>
      <c r="E124" s="35" t="n">
        <v>480</v>
      </c>
      <c r="F124" s="33" t="inlineStr">
        <is>
          <t>80%</t>
        </is>
      </c>
      <c r="G124" s="32" t="inlineStr">
        <is>
          <t>ver no ML</t>
        </is>
      </c>
    </row>
    <row r="125">
      <c r="A125" s="29" t="n">
        <v>115</v>
      </c>
      <c r="B125" s="29" t="n">
        <v>1</v>
      </c>
      <c r="C125" s="30" t="inlineStr">
        <is>
          <t>MICROFONE HYPERX QUADCAST ID: CDBO68746 - N.S. C1W3161FHN</t>
        </is>
      </c>
      <c r="D125" s="31" t="n">
        <v>480</v>
      </c>
      <c r="E125" s="31" t="n">
        <v>480</v>
      </c>
      <c r="F125" s="29" t="inlineStr">
        <is>
          <t>80%</t>
        </is>
      </c>
      <c r="G125" s="32" t="inlineStr">
        <is>
          <t>ver no ML</t>
        </is>
      </c>
    </row>
    <row r="126">
      <c r="A126" s="33" t="n">
        <v>116</v>
      </c>
      <c r="B126" s="33" t="n">
        <v>1</v>
      </c>
      <c r="C126" s="34" t="inlineStr">
        <is>
          <t>MICROFONE HYPERX QUADCAST ID: CDBO68746 - N.S. C1W31619W7</t>
        </is>
      </c>
      <c r="D126" s="35" t="n">
        <v>480</v>
      </c>
      <c r="E126" s="35" t="n">
        <v>480</v>
      </c>
      <c r="F126" s="33" t="inlineStr">
        <is>
          <t>80%</t>
        </is>
      </c>
      <c r="G126" s="32" t="inlineStr">
        <is>
          <t>ver no ML</t>
        </is>
      </c>
    </row>
    <row r="127">
      <c r="A127" s="29" t="n">
        <v>117</v>
      </c>
      <c r="B127" s="29" t="n">
        <v>1</v>
      </c>
      <c r="C127" s="30" t="inlineStr">
        <is>
          <t>MICROFONE HYPERX QUADCAST ID: CDBO68746 - N.S. C1W3161F7T</t>
        </is>
      </c>
      <c r="D127" s="31" t="n">
        <v>480</v>
      </c>
      <c r="E127" s="31" t="n">
        <v>480</v>
      </c>
      <c r="F127" s="29" t="inlineStr">
        <is>
          <t>80%</t>
        </is>
      </c>
      <c r="G127" s="32" t="inlineStr">
        <is>
          <t>ver no ML</t>
        </is>
      </c>
    </row>
    <row r="128">
      <c r="A128" s="33" t="n">
        <v>118</v>
      </c>
      <c r="B128" s="33" t="n">
        <v>1</v>
      </c>
      <c r="C128" s="34" t="inlineStr">
        <is>
          <t>MICROFONE HYPERX QUADCAST ID: CDBO68746 - N.S. C1W3161FL0</t>
        </is>
      </c>
      <c r="D128" s="35" t="n">
        <v>480</v>
      </c>
      <c r="E128" s="35" t="n">
        <v>480</v>
      </c>
      <c r="F128" s="33" t="inlineStr">
        <is>
          <t>80%</t>
        </is>
      </c>
      <c r="G128" s="32" t="inlineStr">
        <is>
          <t>ver no ML</t>
        </is>
      </c>
    </row>
    <row r="129">
      <c r="A129" s="29" t="n">
        <v>119</v>
      </c>
      <c r="B129" s="29" t="n">
        <v>1</v>
      </c>
      <c r="C129" s="30" t="inlineStr">
        <is>
          <t>MICROFONE HYPERX QUADCAST ID: CDBO68746 - N.S. C1W3161F81</t>
        </is>
      </c>
      <c r="D129" s="31" t="n">
        <v>480</v>
      </c>
      <c r="E129" s="31" t="n">
        <v>480</v>
      </c>
      <c r="F129" s="29" t="inlineStr">
        <is>
          <t>80%</t>
        </is>
      </c>
      <c r="G129" s="32" t="inlineStr">
        <is>
          <t>ver no ML</t>
        </is>
      </c>
    </row>
    <row r="130">
      <c r="A130" s="33" t="n">
        <v>120</v>
      </c>
      <c r="B130" s="33" t="n">
        <v>1</v>
      </c>
      <c r="C130" s="34" t="inlineStr">
        <is>
          <t>MICROFONE HYPERX QUADCAST ID: CDBO68746 - N.S. C1W3161F75</t>
        </is>
      </c>
      <c r="D130" s="35" t="n">
        <v>450</v>
      </c>
      <c r="E130" s="35" t="n">
        <v>450</v>
      </c>
      <c r="F130" s="33" t="inlineStr">
        <is>
          <t>75%</t>
        </is>
      </c>
      <c r="G130" s="32" t="inlineStr">
        <is>
          <t>ver no ML</t>
        </is>
      </c>
    </row>
    <row r="131">
      <c r="A131" s="29" t="n">
        <v>121</v>
      </c>
      <c r="B131" s="29" t="n">
        <v>1</v>
      </c>
      <c r="C131" s="30" t="inlineStr">
        <is>
          <t>MICROFONE HYPERX QUADCSAT ID: CDBO68746 - N.S. C1W3161FBG</t>
        </is>
      </c>
      <c r="D131" s="31" t="n">
        <v>450</v>
      </c>
      <c r="E131" s="31" t="n">
        <v>450</v>
      </c>
      <c r="F131" s="29" t="inlineStr">
        <is>
          <t>75%</t>
        </is>
      </c>
      <c r="G131" s="32" t="inlineStr">
        <is>
          <t>ver no ML</t>
        </is>
      </c>
    </row>
    <row r="132">
      <c r="A132" s="33" t="n">
        <v>122</v>
      </c>
      <c r="B132" s="33" t="n">
        <v>1</v>
      </c>
      <c r="C132" s="34" t="inlineStr">
        <is>
          <t>MICROFONE HYPERX QUADCSAT ID: CDBO68746 - N.S. C1W3161FBM</t>
        </is>
      </c>
      <c r="D132" s="35" t="n">
        <v>450</v>
      </c>
      <c r="E132" s="35" t="n">
        <v>450</v>
      </c>
      <c r="F132" s="33" t="inlineStr">
        <is>
          <t>75%</t>
        </is>
      </c>
      <c r="G132" s="32" t="inlineStr">
        <is>
          <t>ver no ML</t>
        </is>
      </c>
    </row>
    <row r="133">
      <c r="A133" s="29" t="n">
        <v>123</v>
      </c>
      <c r="B133" s="29" t="n">
        <v>1</v>
      </c>
      <c r="C133" s="30" t="inlineStr">
        <is>
          <t>MICROFONE HYPERX QUADCSAT ID: CDBO68746 - N.S. C1W3161B6M</t>
        </is>
      </c>
      <c r="D133" s="31" t="n">
        <v>450</v>
      </c>
      <c r="E133" s="31" t="n">
        <v>450</v>
      </c>
      <c r="F133" s="29" t="inlineStr">
        <is>
          <t>75%</t>
        </is>
      </c>
      <c r="G133" s="32" t="inlineStr">
        <is>
          <t>ver no ML</t>
        </is>
      </c>
    </row>
    <row r="134">
      <c r="A134" s="33" t="n">
        <v>124</v>
      </c>
      <c r="B134" s="33" t="n">
        <v>1</v>
      </c>
      <c r="C134" s="34" t="inlineStr">
        <is>
          <t>MICROFONE HYPERX QUADCSAT ID: CDBO68746 - N.S. C1W3161F5F</t>
        </is>
      </c>
      <c r="D134" s="35" t="n">
        <v>450</v>
      </c>
      <c r="E134" s="35" t="n">
        <v>450</v>
      </c>
      <c r="F134" s="33" t="inlineStr">
        <is>
          <t>75%</t>
        </is>
      </c>
      <c r="G134" s="32" t="inlineStr">
        <is>
          <t>ver no ML</t>
        </is>
      </c>
    </row>
    <row r="135">
      <c r="A135" s="29" t="n">
        <v>125</v>
      </c>
      <c r="B135" s="29" t="n">
        <v>1</v>
      </c>
      <c r="C135" s="30" t="inlineStr">
        <is>
          <t>MICROFONE HYPERX QUADCSAT ID: CDBO68746 - N.S. C1W3161B6J</t>
        </is>
      </c>
      <c r="D135" s="31" t="n">
        <v>450</v>
      </c>
      <c r="E135" s="31" t="n">
        <v>450</v>
      </c>
      <c r="F135" s="29" t="inlineStr">
        <is>
          <t>75%</t>
        </is>
      </c>
      <c r="G135" s="32" t="inlineStr">
        <is>
          <t>ver no ML</t>
        </is>
      </c>
    </row>
    <row r="136">
      <c r="A136" s="33" t="n">
        <v>126</v>
      </c>
      <c r="B136" s="33" t="n">
        <v>1</v>
      </c>
      <c r="C136" s="34" t="inlineStr">
        <is>
          <t>MICROFONE HYPERX QUADCSAT ID: CDBO68746 - N.S. C1W2520GZT</t>
        </is>
      </c>
      <c r="D136" s="35" t="n">
        <v>450</v>
      </c>
      <c r="E136" s="35" t="n">
        <v>450</v>
      </c>
      <c r="F136" s="33" t="inlineStr">
        <is>
          <t>75%</t>
        </is>
      </c>
      <c r="G136" s="32" t="inlineStr">
        <is>
          <t>ver no ML</t>
        </is>
      </c>
    </row>
    <row r="137">
      <c r="A137" s="29" t="n">
        <v>127</v>
      </c>
      <c r="B137" s="29" t="n">
        <v>1</v>
      </c>
      <c r="C137" s="30" t="inlineStr">
        <is>
          <t>MICROFONE HYPERX QUADCSAT ID: CDBO68746 - N.S. C1W3161F5C</t>
        </is>
      </c>
      <c r="D137" s="31" t="n">
        <v>450</v>
      </c>
      <c r="E137" s="31" t="n">
        <v>450</v>
      </c>
      <c r="F137" s="29" t="inlineStr">
        <is>
          <t>75%</t>
        </is>
      </c>
      <c r="G137" s="32" t="inlineStr">
        <is>
          <t>ver no ML</t>
        </is>
      </c>
    </row>
    <row r="138">
      <c r="A138" s="33" t="n">
        <v>128</v>
      </c>
      <c r="B138" s="33" t="n">
        <v>1</v>
      </c>
      <c r="C138" s="34" t="inlineStr">
        <is>
          <t>MICROFONE HYPERX QUADCSAT ID: CDBO68746 - N.S. C1W3161B6P</t>
        </is>
      </c>
      <c r="D138" s="35" t="n">
        <v>450</v>
      </c>
      <c r="E138" s="35" t="n">
        <v>450</v>
      </c>
      <c r="F138" s="33" t="inlineStr">
        <is>
          <t>75%</t>
        </is>
      </c>
      <c r="G138" s="32" t="inlineStr">
        <is>
          <t>ver no ML</t>
        </is>
      </c>
    </row>
    <row r="139">
      <c r="A139" s="29" t="n">
        <v>129</v>
      </c>
      <c r="B139" s="29" t="n">
        <v>1</v>
      </c>
      <c r="C139" s="30" t="inlineStr">
        <is>
          <t>MICROFONE HYPERX QUADCSAT ID: CDBO68746 - N.S. C1W3172GVY</t>
        </is>
      </c>
      <c r="D139" s="31" t="n">
        <v>450</v>
      </c>
      <c r="E139" s="31" t="n">
        <v>450</v>
      </c>
      <c r="F139" s="29" t="inlineStr">
        <is>
          <t>75%</t>
        </is>
      </c>
      <c r="G139" s="32" t="inlineStr">
        <is>
          <t>ver no ML</t>
        </is>
      </c>
    </row>
    <row r="140">
      <c r="A140" s="33" t="n">
        <v>130</v>
      </c>
      <c r="B140" s="33" t="n">
        <v>1</v>
      </c>
      <c r="C140" s="34" t="inlineStr">
        <is>
          <t>MICROFONE HYPERX QUADCSAT ID: CDBO68746 - N.S. C1W31616KQ</t>
        </is>
      </c>
      <c r="D140" s="35" t="n">
        <v>450</v>
      </c>
      <c r="E140" s="35" t="n">
        <v>450</v>
      </c>
      <c r="F140" s="33" t="inlineStr">
        <is>
          <t>75%</t>
        </is>
      </c>
      <c r="G140" s="32" t="inlineStr">
        <is>
          <t>ver no ML</t>
        </is>
      </c>
    </row>
    <row r="141">
      <c r="A141" s="29" t="n">
        <v>131</v>
      </c>
      <c r="B141" s="29" t="n">
        <v>1</v>
      </c>
      <c r="C141" s="30" t="inlineStr">
        <is>
          <t>MICROFONE HYPERX QUADCSAT ID: CDBO68746 - N.S. C1W3172GMZ</t>
        </is>
      </c>
      <c r="D141" s="31" t="n">
        <v>450</v>
      </c>
      <c r="E141" s="31" t="n">
        <v>450</v>
      </c>
      <c r="F141" s="29" t="inlineStr">
        <is>
          <t>75%</t>
        </is>
      </c>
      <c r="G141" s="32" t="inlineStr">
        <is>
          <t>ver no ML</t>
        </is>
      </c>
    </row>
    <row r="142">
      <c r="A142" s="33" t="n">
        <v>132</v>
      </c>
      <c r="B142" s="33" t="n">
        <v>1</v>
      </c>
      <c r="C142" s="34" t="inlineStr">
        <is>
          <t>MICROFONE HYPERX QUADCSAT ID: CDBO68746 - N.S. C1W3161B3L</t>
        </is>
      </c>
      <c r="D142" s="35" t="n">
        <v>450</v>
      </c>
      <c r="E142" s="35" t="n">
        <v>450</v>
      </c>
      <c r="F142" s="33" t="inlineStr">
        <is>
          <t>75%</t>
        </is>
      </c>
      <c r="G142" s="32" t="inlineStr">
        <is>
          <t>ver no ML</t>
        </is>
      </c>
    </row>
    <row r="143">
      <c r="A143" s="29" t="n">
        <v>133</v>
      </c>
      <c r="B143" s="29" t="n">
        <v>1</v>
      </c>
      <c r="C143" s="30" t="inlineStr">
        <is>
          <t>MICROFONE HYPERX QUADCSAT ID: CDBO68746 - N.S. C1W3161FHC</t>
        </is>
      </c>
      <c r="D143" s="31" t="n">
        <v>450</v>
      </c>
      <c r="E143" s="31" t="n">
        <v>450</v>
      </c>
      <c r="F143" s="29" t="inlineStr">
        <is>
          <t>75%</t>
        </is>
      </c>
      <c r="G143" s="32" t="inlineStr">
        <is>
          <t>ver no ML</t>
        </is>
      </c>
    </row>
    <row r="144">
      <c r="A144" s="33" t="n">
        <v>134</v>
      </c>
      <c r="B144" s="33" t="n">
        <v>1</v>
      </c>
      <c r="C144" s="34" t="inlineStr">
        <is>
          <t>MICROFONE HYPERX QUADCSAT ID: CDBO68746 - N.S.C1W3161F5W</t>
        </is>
      </c>
      <c r="D144" s="35" t="n">
        <v>450</v>
      </c>
      <c r="E144" s="35" t="n">
        <v>450</v>
      </c>
      <c r="F144" s="33" t="inlineStr">
        <is>
          <t>75%</t>
        </is>
      </c>
      <c r="G144" s="32" t="inlineStr">
        <is>
          <t>ver no ML</t>
        </is>
      </c>
    </row>
    <row r="145">
      <c r="A145" s="29" t="n">
        <v>135</v>
      </c>
      <c r="B145" s="29" t="n">
        <v>1</v>
      </c>
      <c r="C145" s="30" t="inlineStr">
        <is>
          <t>MICROFONE HYPERX QUADCSAT ID: CDBO68746 - N.S.C1W31616L8</t>
        </is>
      </c>
      <c r="D145" s="31" t="n">
        <v>450</v>
      </c>
      <c r="E145" s="31" t="n">
        <v>450</v>
      </c>
      <c r="F145" s="29" t="inlineStr">
        <is>
          <t>75%</t>
        </is>
      </c>
      <c r="G145" s="32" t="inlineStr">
        <is>
          <t>ver no ML</t>
        </is>
      </c>
    </row>
    <row r="146">
      <c r="A146" s="33" t="n">
        <v>136</v>
      </c>
      <c r="B146" s="33" t="n">
        <v>1</v>
      </c>
      <c r="C146" s="34" t="inlineStr">
        <is>
          <t>MICROFONE HYPERX QUADCSAT ID: CDBO68746 - N.S. C1W31616KT</t>
        </is>
      </c>
      <c r="D146" s="35" t="n">
        <v>450</v>
      </c>
      <c r="E146" s="35" t="n">
        <v>450</v>
      </c>
      <c r="F146" s="33" t="inlineStr">
        <is>
          <t>78%</t>
        </is>
      </c>
      <c r="G146" s="32" t="inlineStr">
        <is>
          <t>ver no ML</t>
        </is>
      </c>
    </row>
    <row r="147">
      <c r="A147" s="29" t="n">
        <v>137</v>
      </c>
      <c r="B147" s="29" t="n">
        <v>1</v>
      </c>
      <c r="C147" s="30" t="inlineStr">
        <is>
          <t>MICROFONE HYPERX QUADCSAT ID: CDBO68746 - N.S. C1W3161B6G</t>
        </is>
      </c>
      <c r="D147" s="31" t="n">
        <v>450</v>
      </c>
      <c r="E147" s="31" t="n">
        <v>450</v>
      </c>
      <c r="F147" s="29" t="inlineStr">
        <is>
          <t>78%</t>
        </is>
      </c>
      <c r="G147" s="32" t="inlineStr">
        <is>
          <t>ver no ML</t>
        </is>
      </c>
    </row>
    <row r="148">
      <c r="A148" s="33" t="n">
        <v>138</v>
      </c>
      <c r="B148" s="33" t="n">
        <v>1</v>
      </c>
      <c r="C148" s="34" t="inlineStr">
        <is>
          <t>MICROFONE HYPERX QUADCAST ID: CDBO68746 - N.S. C1W3161FGF</t>
        </is>
      </c>
      <c r="D148" s="35" t="n">
        <v>450</v>
      </c>
      <c r="E148" s="35" t="n">
        <v>450</v>
      </c>
      <c r="F148" s="33" t="inlineStr">
        <is>
          <t>78%</t>
        </is>
      </c>
      <c r="G148" s="32" t="inlineStr">
        <is>
          <t>ver no ML</t>
        </is>
      </c>
    </row>
    <row r="149">
      <c r="A149" s="29" t="n">
        <v>139</v>
      </c>
      <c r="B149" s="29" t="n">
        <v>1</v>
      </c>
      <c r="C149" s="30" t="inlineStr">
        <is>
          <t>MICROFONE HYPERX QUADCAST ID: CDBO68746 - N.S. C1W3161F86</t>
        </is>
      </c>
      <c r="D149" s="31" t="n">
        <v>450</v>
      </c>
      <c r="E149" s="31" t="n">
        <v>450</v>
      </c>
      <c r="F149" s="29" t="inlineStr">
        <is>
          <t>78%</t>
        </is>
      </c>
      <c r="G149" s="32" t="inlineStr">
        <is>
          <t>ver no ML</t>
        </is>
      </c>
    </row>
    <row r="150">
      <c r="A150" s="33" t="n">
        <v>140</v>
      </c>
      <c r="B150" s="33" t="n">
        <v>1</v>
      </c>
      <c r="C150" s="34" t="inlineStr">
        <is>
          <t>MICROFONE HYPERX QUADCAST ID: CDBO68746 - N.S. C1W3161FBL</t>
        </is>
      </c>
      <c r="D150" s="35" t="n">
        <v>450</v>
      </c>
      <c r="E150" s="35" t="n">
        <v>450</v>
      </c>
      <c r="F150" s="33" t="inlineStr">
        <is>
          <t>78%</t>
        </is>
      </c>
      <c r="G150" s="32" t="inlineStr">
        <is>
          <t>ver no ML</t>
        </is>
      </c>
    </row>
    <row r="151">
      <c r="A151" s="29" t="n">
        <v>141</v>
      </c>
      <c r="B151" s="29" t="n">
        <v>1</v>
      </c>
      <c r="C151" s="30" t="inlineStr">
        <is>
          <t>MICROFONE HYPERX QUADCAST ID: CDBO68746 - N.S. C1W3161FBJ</t>
        </is>
      </c>
      <c r="D151" s="31" t="n">
        <v>450</v>
      </c>
      <c r="E151" s="31" t="n">
        <v>450</v>
      </c>
      <c r="F151" s="29" t="inlineStr">
        <is>
          <t>78%</t>
        </is>
      </c>
      <c r="G151" s="32" t="inlineStr">
        <is>
          <t>ver no ML</t>
        </is>
      </c>
    </row>
    <row r="152">
      <c r="A152" s="33" t="n">
        <v>142</v>
      </c>
      <c r="B152" s="33" t="n">
        <v>1</v>
      </c>
      <c r="C152" s="34" t="inlineStr">
        <is>
          <t>MICROFONE HYPERX QUADCAST ID: CDBO68746 - N.S. C1W30618H7</t>
        </is>
      </c>
      <c r="D152" s="35" t="n">
        <v>450</v>
      </c>
      <c r="E152" s="35" t="n">
        <v>450</v>
      </c>
      <c r="F152" s="33" t="inlineStr">
        <is>
          <t>78%</t>
        </is>
      </c>
      <c r="G152" s="32" t="inlineStr">
        <is>
          <t>ver no ML</t>
        </is>
      </c>
    </row>
    <row r="153">
      <c r="A153" s="29" t="n">
        <v>143</v>
      </c>
      <c r="B153" s="29" t="n">
        <v>1</v>
      </c>
      <c r="C153" s="30" t="inlineStr">
        <is>
          <t>MICROFONE HYPERX QUADCAST ID: CDBO68746 - N.S. C1W31616KP</t>
        </is>
      </c>
      <c r="D153" s="31" t="n">
        <v>450</v>
      </c>
      <c r="E153" s="31" t="n">
        <v>450</v>
      </c>
      <c r="F153" s="29" t="inlineStr">
        <is>
          <t>78%</t>
        </is>
      </c>
      <c r="G153" s="32" t="inlineStr">
        <is>
          <t>ver no ML</t>
        </is>
      </c>
    </row>
    <row r="154">
      <c r="A154" s="33" t="n">
        <v>144</v>
      </c>
      <c r="B154" s="33" t="n">
        <v>1</v>
      </c>
      <c r="C154" s="34" t="inlineStr">
        <is>
          <t>MICROFONE HYPERX QUADCAST ID: CDBO68746 - N.S. C1W30618NM</t>
        </is>
      </c>
      <c r="D154" s="35" t="n">
        <v>450</v>
      </c>
      <c r="E154" s="35" t="n">
        <v>450</v>
      </c>
      <c r="F154" s="33" t="inlineStr">
        <is>
          <t>78%</t>
        </is>
      </c>
      <c r="G154" s="32" t="inlineStr">
        <is>
          <t>ver no ML</t>
        </is>
      </c>
    </row>
    <row r="155">
      <c r="A155" s="29" t="n">
        <v>145</v>
      </c>
      <c r="B155" s="29" t="n">
        <v>1</v>
      </c>
      <c r="C155" s="30" t="inlineStr">
        <is>
          <t>MICROFONE HYPERX QUADCAST ID: CDBO68746 - N.S. C1W3161F7R</t>
        </is>
      </c>
      <c r="D155" s="31" t="n">
        <v>450</v>
      </c>
      <c r="E155" s="31" t="n">
        <v>450</v>
      </c>
      <c r="F155" s="29" t="inlineStr">
        <is>
          <t>78%</t>
        </is>
      </c>
      <c r="G155" s="32" t="inlineStr">
        <is>
          <t>ver no ML</t>
        </is>
      </c>
    </row>
    <row r="156">
      <c r="A156" s="33" t="n">
        <v>146</v>
      </c>
      <c r="B156" s="33" t="n">
        <v>1</v>
      </c>
      <c r="C156" s="34" t="inlineStr">
        <is>
          <t>MICROFONE HYPERX QUADCAST ID: CDBO68746 - N.S. C1W31610LP</t>
        </is>
      </c>
      <c r="D156" s="35" t="n">
        <v>450</v>
      </c>
      <c r="E156" s="35" t="n">
        <v>450</v>
      </c>
      <c r="F156" s="33" t="inlineStr">
        <is>
          <t>78%</t>
        </is>
      </c>
      <c r="G156" s="32" t="inlineStr">
        <is>
          <t>ver no ML</t>
        </is>
      </c>
    </row>
    <row r="157">
      <c r="A157" s="29" t="n">
        <v>147</v>
      </c>
      <c r="B157" s="29" t="n">
        <v>1</v>
      </c>
      <c r="C157" s="30" t="inlineStr">
        <is>
          <t>MICROFONE HYPERX QUADCAST ID: CDBO68746 - N.S. C1W31616JF</t>
        </is>
      </c>
      <c r="D157" s="31" t="n">
        <v>450</v>
      </c>
      <c r="E157" s="31" t="n">
        <v>450</v>
      </c>
      <c r="F157" s="29" t="inlineStr">
        <is>
          <t>78%</t>
        </is>
      </c>
      <c r="G157" s="32" t="inlineStr">
        <is>
          <t>ver no ML</t>
        </is>
      </c>
    </row>
    <row r="158">
      <c r="A158" s="33" t="n">
        <v>148</v>
      </c>
      <c r="B158" s="33" t="n">
        <v>1</v>
      </c>
      <c r="C158" s="34" t="inlineStr">
        <is>
          <t>MICROFONE HYPERX QUADCAST ID: CDBO68746 - N.S. C1W3161FHR</t>
        </is>
      </c>
      <c r="D158" s="35" t="n">
        <v>450</v>
      </c>
      <c r="E158" s="35" t="n">
        <v>450</v>
      </c>
      <c r="F158" s="33" t="inlineStr">
        <is>
          <t>78%</t>
        </is>
      </c>
      <c r="G158" s="32" t="inlineStr">
        <is>
          <t>ver no ML</t>
        </is>
      </c>
    </row>
    <row r="159">
      <c r="A159" s="29" t="n">
        <v>149</v>
      </c>
      <c r="B159" s="29" t="n">
        <v>1</v>
      </c>
      <c r="C159" s="30" t="inlineStr">
        <is>
          <t>MICROFONE HYPERX QUADCAST ID: CDBO68746 - N.S. C1W2520GZV</t>
        </is>
      </c>
      <c r="D159" s="31" t="n">
        <v>450</v>
      </c>
      <c r="E159" s="31" t="n">
        <v>450</v>
      </c>
      <c r="F159" s="29" t="inlineStr">
        <is>
          <t>78%</t>
        </is>
      </c>
      <c r="G159" s="32" t="inlineStr">
        <is>
          <t>ver no ML</t>
        </is>
      </c>
    </row>
    <row r="160">
      <c r="A160" s="33" t="n">
        <v>150</v>
      </c>
      <c r="B160" s="33" t="n">
        <v>1</v>
      </c>
      <c r="C160" s="34" t="inlineStr">
        <is>
          <t>MICROFONE HYPERX QUADCAST ID: CDBO68746 - N.S. C1W3161F5G</t>
        </is>
      </c>
      <c r="D160" s="35" t="n">
        <v>450</v>
      </c>
      <c r="E160" s="35" t="n">
        <v>450</v>
      </c>
      <c r="F160" s="33" t="inlineStr">
        <is>
          <t>78%</t>
        </is>
      </c>
      <c r="G160" s="32" t="inlineStr">
        <is>
          <t>ver no ML</t>
        </is>
      </c>
    </row>
    <row r="161">
      <c r="A161" s="29" t="n">
        <v>151</v>
      </c>
      <c r="B161" s="29" t="n">
        <v>1</v>
      </c>
      <c r="C161" s="30" t="inlineStr">
        <is>
          <t>MICROFONE HYPERX QUADCAST ID: CDBO68746 - N.S. C1W31616NV</t>
        </is>
      </c>
      <c r="D161" s="31" t="n">
        <v>450</v>
      </c>
      <c r="E161" s="31" t="n">
        <v>450</v>
      </c>
      <c r="F161" s="29" t="inlineStr">
        <is>
          <t>78%</t>
        </is>
      </c>
      <c r="G161" s="32" t="inlineStr">
        <is>
          <t>ver no ML</t>
        </is>
      </c>
    </row>
    <row r="162">
      <c r="A162" s="33" t="n">
        <v>152</v>
      </c>
      <c r="B162" s="33" t="n">
        <v>1</v>
      </c>
      <c r="C162" s="34" t="inlineStr">
        <is>
          <t>MICROFONE HYPERX QUADCAST ID: CDBO68746 - N.S. C1W31102M7</t>
        </is>
      </c>
      <c r="D162" s="35" t="n">
        <v>450</v>
      </c>
      <c r="E162" s="35" t="n">
        <v>450</v>
      </c>
      <c r="F162" s="33" t="inlineStr">
        <is>
          <t>78%</t>
        </is>
      </c>
      <c r="G162" s="32" t="inlineStr">
        <is>
          <t>ver no ML</t>
        </is>
      </c>
    </row>
    <row r="163">
      <c r="A163" s="29" t="n">
        <v>153</v>
      </c>
      <c r="B163" s="29" t="n">
        <v>1</v>
      </c>
      <c r="C163" s="30" t="inlineStr">
        <is>
          <t>MICROFONE HYPERX QUADCAST ID: CDBO68746 - N.S. C1W30618FT</t>
        </is>
      </c>
      <c r="D163" s="31" t="n">
        <v>450</v>
      </c>
      <c r="E163" s="31" t="n">
        <v>450</v>
      </c>
      <c r="F163" s="29" t="inlineStr">
        <is>
          <t>78%</t>
        </is>
      </c>
      <c r="G163" s="32" t="inlineStr">
        <is>
          <t>ver no ML</t>
        </is>
      </c>
    </row>
    <row r="164">
      <c r="A164" s="33" t="n">
        <v>154</v>
      </c>
      <c r="B164" s="33" t="n">
        <v>1</v>
      </c>
      <c r="C164" s="34" t="inlineStr">
        <is>
          <t>MICROFONE HYPERX QUADCAST ID: CDBO68746 - N.S. C1W3110043</t>
        </is>
      </c>
      <c r="D164" s="35" t="n">
        <v>450</v>
      </c>
      <c r="E164" s="35" t="n">
        <v>450</v>
      </c>
      <c r="F164" s="33" t="inlineStr">
        <is>
          <t>78%</t>
        </is>
      </c>
      <c r="G164" s="32" t="inlineStr">
        <is>
          <t>ver no ML</t>
        </is>
      </c>
    </row>
    <row r="165">
      <c r="A165" s="29" t="n">
        <v>155</v>
      </c>
      <c r="B165" s="29" t="n">
        <v>1</v>
      </c>
      <c r="C165" s="30" t="inlineStr">
        <is>
          <t>MICROFONE HYPERX QUADCAST ID: CDBO68746 - N.S. C1W3172GW3</t>
        </is>
      </c>
      <c r="D165" s="31" t="n">
        <v>450</v>
      </c>
      <c r="E165" s="31" t="n">
        <v>450</v>
      </c>
      <c r="F165" s="29" t="inlineStr">
        <is>
          <t>78%</t>
        </is>
      </c>
      <c r="G165" s="32" t="inlineStr">
        <is>
          <t>ver no ML</t>
        </is>
      </c>
    </row>
    <row r="166">
      <c r="A166" s="33" t="n">
        <v>156</v>
      </c>
      <c r="B166" s="33" t="n">
        <v>1</v>
      </c>
      <c r="C166" s="34" t="inlineStr">
        <is>
          <t>MICROFONE SEM FIO JBL WIRELESS MICROPHONE ID:RNTT58484 - S/N:PT0009-JN0552794</t>
        </is>
      </c>
      <c r="D166" s="35" t="n">
        <v>430</v>
      </c>
      <c r="E166" s="35" t="n">
        <v>430</v>
      </c>
      <c r="F166" s="33" t="inlineStr">
        <is>
          <t>55%</t>
        </is>
      </c>
      <c r="G166" s="32" t="inlineStr">
        <is>
          <t>ver no ML</t>
        </is>
      </c>
    </row>
    <row r="167">
      <c r="A167" s="29" t="n">
        <v>157</v>
      </c>
      <c r="B167" s="29" t="n">
        <v>1</v>
      </c>
      <c r="C167" s="30" t="inlineStr">
        <is>
          <t>MICROFONE SEM FIO JBL WIRELESS MICROPHONE ID:RNTT58484 - S/N:PT0009-JN0561656</t>
        </is>
      </c>
      <c r="D167" s="31" t="n">
        <v>430</v>
      </c>
      <c r="E167" s="31" t="n">
        <v>430</v>
      </c>
      <c r="F167" s="29" t="inlineStr">
        <is>
          <t>55%</t>
        </is>
      </c>
      <c r="G167" s="32" t="inlineStr">
        <is>
          <t>ver no ML</t>
        </is>
      </c>
    </row>
    <row r="168">
      <c r="A168" s="33" t="n">
        <v>158</v>
      </c>
      <c r="B168" s="33" t="n">
        <v>1</v>
      </c>
      <c r="C168" s="34" t="inlineStr">
        <is>
          <t>CAIXA ACUSTICA JBL FLIP6 N.S. CS0543-AM0011569</t>
        </is>
      </c>
      <c r="D168" s="35" t="n">
        <v>420</v>
      </c>
      <c r="E168" s="35" t="n">
        <v>420</v>
      </c>
      <c r="F168" s="33" t="inlineStr">
        <is>
          <t>75%</t>
        </is>
      </c>
      <c r="G168" s="32" t="inlineStr">
        <is>
          <t>ver no ML</t>
        </is>
      </c>
    </row>
    <row r="169">
      <c r="A169" s="29" t="n">
        <v>159</v>
      </c>
      <c r="B169" s="29" t="n">
        <v>1</v>
      </c>
      <c r="C169" s="30" t="inlineStr">
        <is>
          <t>SUBWOOFER P/ CARRO PIONEER TS-A3000LS4</t>
        </is>
      </c>
      <c r="D169" s="31" t="n">
        <v>400</v>
      </c>
      <c r="E169" s="31" t="n">
        <v>400</v>
      </c>
      <c r="F169" s="29" t="inlineStr">
        <is>
          <t>65%</t>
        </is>
      </c>
      <c r="G169" s="32" t="inlineStr">
        <is>
          <t>ver no ML</t>
        </is>
      </c>
    </row>
    <row r="170">
      <c r="A170" s="33" t="n">
        <v>160</v>
      </c>
      <c r="B170" s="33" t="n">
        <v>1</v>
      </c>
      <c r="C170" s="34" t="inlineStr">
        <is>
          <t>CAIXA ACUSTICA JBL FLIP 6 N.S. TT0095-JN0426348</t>
        </is>
      </c>
      <c r="D170" s="35" t="n">
        <v>380</v>
      </c>
      <c r="E170" s="35" t="n">
        <v>380</v>
      </c>
      <c r="F170" s="33" t="inlineStr">
        <is>
          <t>80%</t>
        </is>
      </c>
      <c r="G170" s="32" t="inlineStr">
        <is>
          <t>ver no ML</t>
        </is>
      </c>
    </row>
    <row r="171">
      <c r="A171" s="29" t="n">
        <v>161</v>
      </c>
      <c r="B171" s="29" t="n">
        <v>1</v>
      </c>
      <c r="C171" s="30" t="inlineStr">
        <is>
          <t>SUBWOOFER P/ CARRO PIONEER TS-W312S4</t>
        </is>
      </c>
      <c r="D171" s="31" t="n">
        <v>380</v>
      </c>
      <c r="E171" s="31" t="n">
        <v>380</v>
      </c>
      <c r="F171" s="29" t="inlineStr">
        <is>
          <t>70%</t>
        </is>
      </c>
      <c r="G171" s="32" t="inlineStr">
        <is>
          <t>ver no ML</t>
        </is>
      </c>
    </row>
    <row r="172">
      <c r="A172" s="33" t="n">
        <v>162</v>
      </c>
      <c r="B172" s="33" t="n">
        <v>1</v>
      </c>
      <c r="C172" s="34" t="inlineStr">
        <is>
          <t>CAIXA ACUSTICA JBL FLIP 6 N.S. CS0543-AM0013504</t>
        </is>
      </c>
      <c r="D172" s="35" t="n">
        <v>380</v>
      </c>
      <c r="E172" s="35" t="n">
        <v>380</v>
      </c>
      <c r="F172" s="33" t="inlineStr">
        <is>
          <t>80%</t>
        </is>
      </c>
      <c r="G172" s="32" t="inlineStr">
        <is>
          <t>ver no ML</t>
        </is>
      </c>
    </row>
    <row r="173">
      <c r="A173" s="29" t="n">
        <v>163</v>
      </c>
      <c r="B173" s="29" t="n">
        <v>1</v>
      </c>
      <c r="C173" s="30" t="inlineStr">
        <is>
          <t>CAIXA ACUSTICA JBL FLIP 6 N.S. CS0543-AM0012923</t>
        </is>
      </c>
      <c r="D173" s="31" t="n">
        <v>380</v>
      </c>
      <c r="E173" s="31" t="n">
        <v>380</v>
      </c>
      <c r="F173" s="29" t="inlineStr">
        <is>
          <t>80%</t>
        </is>
      </c>
      <c r="G173" s="32" t="inlineStr">
        <is>
          <t>ver no ML</t>
        </is>
      </c>
    </row>
    <row r="174">
      <c r="A174" s="33" t="n">
        <v>164</v>
      </c>
      <c r="B174" s="33" t="n">
        <v>1</v>
      </c>
      <c r="C174" s="34" t="inlineStr">
        <is>
          <t>PEDAL PARA INSTR. MUSICAL ZOOM G1 FOUR N.S. C31108269</t>
        </is>
      </c>
      <c r="D174" s="35" t="n">
        <v>380</v>
      </c>
      <c r="E174" s="35" t="n">
        <v>380</v>
      </c>
      <c r="F174" s="33" t="inlineStr">
        <is>
          <t>75%</t>
        </is>
      </c>
      <c r="G174" s="32" t="inlineStr">
        <is>
          <t>ver no ML</t>
        </is>
      </c>
    </row>
    <row r="175">
      <c r="A175" s="29" t="n">
        <v>165</v>
      </c>
      <c r="B175" s="29" t="n">
        <v>1</v>
      </c>
      <c r="C175" s="30" t="inlineStr">
        <is>
          <t>PEDAL PARA INSTR. MUSICAL ZOOM G1 FOUR N.S. C31108891</t>
        </is>
      </c>
      <c r="D175" s="31" t="n">
        <v>380</v>
      </c>
      <c r="E175" s="31" t="n">
        <v>380</v>
      </c>
      <c r="F175" s="29" t="inlineStr">
        <is>
          <t>75%</t>
        </is>
      </c>
      <c r="G175" s="32" t="inlineStr">
        <is>
          <t>ver no ML</t>
        </is>
      </c>
    </row>
    <row r="176">
      <c r="A176" s="33" t="n">
        <v>166</v>
      </c>
      <c r="B176" s="33" t="n">
        <v>1</v>
      </c>
      <c r="C176" s="34" t="inlineStr">
        <is>
          <t>PEDAL PARA INSTR. MUSICAL ZOOM G1 FOUR N.S. C31108261</t>
        </is>
      </c>
      <c r="D176" s="35" t="n">
        <v>380</v>
      </c>
      <c r="E176" s="35" t="n">
        <v>380</v>
      </c>
      <c r="F176" s="33" t="inlineStr">
        <is>
          <t>75%</t>
        </is>
      </c>
      <c r="G176" s="32" t="inlineStr">
        <is>
          <t>ver no ML</t>
        </is>
      </c>
    </row>
    <row r="177">
      <c r="A177" s="29" t="n">
        <v>167</v>
      </c>
      <c r="B177" s="29" t="n">
        <v>1</v>
      </c>
      <c r="C177" s="30" t="inlineStr">
        <is>
          <t>PEDAL PARA INSTR. MUSICAL ZOOM G1 FOUR N.S. C31108128</t>
        </is>
      </c>
      <c r="D177" s="31" t="n">
        <v>380</v>
      </c>
      <c r="E177" s="31" t="n">
        <v>380</v>
      </c>
      <c r="F177" s="29" t="inlineStr">
        <is>
          <t>75%</t>
        </is>
      </c>
      <c r="G177" s="32" t="inlineStr">
        <is>
          <t>ver no ML</t>
        </is>
      </c>
    </row>
    <row r="178">
      <c r="A178" s="33" t="n">
        <v>168</v>
      </c>
      <c r="B178" s="33" t="n">
        <v>1</v>
      </c>
      <c r="C178" s="34" t="inlineStr">
        <is>
          <t>SUBWOOFER P/ CARRO PIONEER TS-W312S4</t>
        </is>
      </c>
      <c r="D178" s="35" t="n">
        <v>380</v>
      </c>
      <c r="E178" s="35" t="n">
        <v>380</v>
      </c>
      <c r="F178" s="33" t="inlineStr">
        <is>
          <t>70%</t>
        </is>
      </c>
      <c r="G178" s="32" t="inlineStr">
        <is>
          <t>ver no ML</t>
        </is>
      </c>
    </row>
    <row r="179">
      <c r="A179" s="29" t="n">
        <v>169</v>
      </c>
      <c r="B179" s="29" t="n">
        <v>1</v>
      </c>
      <c r="C179" s="30" t="inlineStr">
        <is>
          <t>FONE DE OUVIDO C/MICROFON RAZER KAIRA HYPERSPEED - PLAYSTATION ID:PMIC49139 - S/N:HN2308D28901099</t>
        </is>
      </c>
      <c r="D179" s="31" t="n">
        <v>380</v>
      </c>
      <c r="E179" s="31" t="n">
        <v>380</v>
      </c>
      <c r="F179" s="29" t="inlineStr">
        <is>
          <t>60%</t>
        </is>
      </c>
      <c r="G179" s="32" t="inlineStr">
        <is>
          <t>ver no ML</t>
        </is>
      </c>
    </row>
    <row r="180">
      <c r="A180" s="33" t="n">
        <v>170</v>
      </c>
      <c r="B180" s="33" t="n">
        <v>1</v>
      </c>
      <c r="C180" s="34" t="inlineStr">
        <is>
          <t>FONE DE OUVIDO C/MICROFON RAZER KAIRA HYPERSPEED - PLAYSTATION ID:PMIC49139 - S/N:HN2308D28903329</t>
        </is>
      </c>
      <c r="D180" s="35" t="n">
        <v>380</v>
      </c>
      <c r="E180" s="35" t="n">
        <v>380</v>
      </c>
      <c r="F180" s="33" t="inlineStr">
        <is>
          <t>60%</t>
        </is>
      </c>
      <c r="G180" s="32" t="inlineStr">
        <is>
          <t>ver no ML</t>
        </is>
      </c>
    </row>
    <row r="181">
      <c r="A181" s="29" t="n">
        <v>171</v>
      </c>
      <c r="B181" s="29" t="n">
        <v>1</v>
      </c>
      <c r="C181" s="30" t="inlineStr">
        <is>
          <t>ACESS DE SOM BEHRINGER UMC22 N.S. S220200557AUX</t>
        </is>
      </c>
      <c r="D181" s="31" t="n">
        <v>370</v>
      </c>
      <c r="E181" s="31" t="n">
        <v>370</v>
      </c>
      <c r="F181" s="29" t="inlineStr">
        <is>
          <t>72%</t>
        </is>
      </c>
      <c r="G181" s="32" t="inlineStr">
        <is>
          <t>ver no ML</t>
        </is>
      </c>
    </row>
    <row r="182">
      <c r="A182" s="33" t="n">
        <v>172</v>
      </c>
      <c r="B182" s="33" t="n">
        <v>1</v>
      </c>
      <c r="C182" s="34" t="inlineStr">
        <is>
          <t>ACESS DE SOM BEHRINGER UMC22 N.S. S220200554AUX</t>
        </is>
      </c>
      <c r="D182" s="35" t="n">
        <v>370</v>
      </c>
      <c r="E182" s="35" t="n">
        <v>370</v>
      </c>
      <c r="F182" s="33" t="inlineStr">
        <is>
          <t>72%</t>
        </is>
      </c>
      <c r="G182" s="32" t="inlineStr">
        <is>
          <t>ver no ML</t>
        </is>
      </c>
    </row>
    <row r="183">
      <c r="A183" s="29" t="n">
        <v>173</v>
      </c>
      <c r="B183" s="29" t="n">
        <v>1</v>
      </c>
      <c r="C183" s="30" t="inlineStr">
        <is>
          <t>ACESS DE SOM RODE MICROFONES PSA 1</t>
        </is>
      </c>
      <c r="D183" s="31" t="n">
        <v>300</v>
      </c>
      <c r="E183" s="31" t="n">
        <v>300</v>
      </c>
      <c r="F183" s="29" t="inlineStr">
        <is>
          <t>35%</t>
        </is>
      </c>
      <c r="G183" s="32" t="inlineStr">
        <is>
          <t>ver no ML</t>
        </is>
      </c>
    </row>
    <row r="184">
      <c r="A184" s="33" t="n">
        <v>174</v>
      </c>
      <c r="B184" s="33" t="n">
        <v>1</v>
      </c>
      <c r="C184" s="34" t="inlineStr">
        <is>
          <t>MICROFONE BEHRINGER C-1 N.S. S211202582226</t>
        </is>
      </c>
      <c r="D184" s="35" t="n">
        <v>300</v>
      </c>
      <c r="E184" s="35" t="n">
        <v>300</v>
      </c>
      <c r="F184" s="33" t="inlineStr">
        <is>
          <t>60%</t>
        </is>
      </c>
      <c r="G184" s="32" t="inlineStr">
        <is>
          <t>ver no ML</t>
        </is>
      </c>
    </row>
    <row r="185">
      <c r="A185" s="29" t="n">
        <v>175</v>
      </c>
      <c r="B185" s="29" t="n">
        <v>1</v>
      </c>
      <c r="C185" s="30" t="inlineStr">
        <is>
          <t>ACESS DE SOM BEHRIGER U-PHORIA UM2 N.S. S220308333AVV</t>
        </is>
      </c>
      <c r="D185" s="31" t="n">
        <v>300</v>
      </c>
      <c r="E185" s="31" t="n">
        <v>300</v>
      </c>
      <c r="F185" s="29" t="inlineStr">
        <is>
          <t>70%</t>
        </is>
      </c>
      <c r="G185" s="32" t="inlineStr">
        <is>
          <t>ver no ML</t>
        </is>
      </c>
    </row>
    <row r="186">
      <c r="A186" s="33" t="n">
        <v>176</v>
      </c>
      <c r="B186" s="33" t="n">
        <v>1</v>
      </c>
      <c r="C186" s="34" t="inlineStr">
        <is>
          <t>ACESS DE SOM BEHRIGER U-PHORIA UM2 N.S. S220610008AVV</t>
        </is>
      </c>
      <c r="D186" s="35" t="n">
        <v>300</v>
      </c>
      <c r="E186" s="35" t="n">
        <v>300</v>
      </c>
      <c r="F186" s="33" t="inlineStr">
        <is>
          <t>70%</t>
        </is>
      </c>
      <c r="G186" s="32" t="inlineStr">
        <is>
          <t>ver no ML</t>
        </is>
      </c>
    </row>
    <row r="187">
      <c r="A187" s="29" t="n">
        <v>177</v>
      </c>
      <c r="B187" s="29" t="n">
        <v>1</v>
      </c>
      <c r="C187" s="30" t="inlineStr">
        <is>
          <t>PEDAL PARA INSTR. MUSICAL JOYO ATMOSPHERE ID:JZES09319 - S/N:31730212841</t>
        </is>
      </c>
      <c r="D187" s="31" t="n">
        <v>290</v>
      </c>
      <c r="E187" s="31" t="n">
        <v>290</v>
      </c>
      <c r="F187" s="29" t="inlineStr">
        <is>
          <t>75%</t>
        </is>
      </c>
      <c r="G187" s="32" t="inlineStr">
        <is>
          <t>ver no ML</t>
        </is>
      </c>
    </row>
    <row r="188">
      <c r="A188" s="33" t="n">
        <v>178</v>
      </c>
      <c r="B188" s="33" t="n">
        <v>1</v>
      </c>
      <c r="C188" s="34" t="inlineStr">
        <is>
          <t>PEDAL PARA INSTR. MUSICAL JOYO ATMOSPHERE ID:JZES09319 - S/N:31530207228</t>
        </is>
      </c>
      <c r="D188" s="35" t="n">
        <v>290</v>
      </c>
      <c r="E188" s="35" t="n">
        <v>290</v>
      </c>
      <c r="F188" s="33" t="inlineStr">
        <is>
          <t>75%</t>
        </is>
      </c>
      <c r="G188" s="32" t="inlineStr">
        <is>
          <t>ver no ML</t>
        </is>
      </c>
    </row>
    <row r="189">
      <c r="A189" s="29" t="n">
        <v>179</v>
      </c>
      <c r="B189" s="29" t="n">
        <v>1</v>
      </c>
      <c r="C189" s="30" t="inlineStr">
        <is>
          <t>PEDAL PARA INSTR. MUSICAL JOYO ATMOSPHERE ID:JZES09319 - S/N:31730212838</t>
        </is>
      </c>
      <c r="D189" s="31" t="n">
        <v>290</v>
      </c>
      <c r="E189" s="31" t="n">
        <v>290</v>
      </c>
      <c r="F189" s="29" t="inlineStr">
        <is>
          <t>75%</t>
        </is>
      </c>
      <c r="G189" s="32" t="inlineStr">
        <is>
          <t>ver no ML</t>
        </is>
      </c>
    </row>
    <row r="190">
      <c r="A190" s="33" t="n">
        <v>180</v>
      </c>
      <c r="B190" s="33" t="n">
        <v>1</v>
      </c>
      <c r="C190" s="34" t="inlineStr">
        <is>
          <t>PEDAL PARA INSTR. MUSICAL JOYO ATMOSPHERE ID:JZES09319 - S/N:31530207212</t>
        </is>
      </c>
      <c r="D190" s="35" t="n">
        <v>290</v>
      </c>
      <c r="E190" s="35" t="n">
        <v>290</v>
      </c>
      <c r="F190" s="33" t="inlineStr">
        <is>
          <t>75%</t>
        </is>
      </c>
      <c r="G190" s="32" t="inlineStr">
        <is>
          <t>ver no ML</t>
        </is>
      </c>
    </row>
    <row r="191">
      <c r="A191" s="29" t="n">
        <v>181</v>
      </c>
      <c r="B191" s="29" t="n">
        <v>1</v>
      </c>
      <c r="C191" s="30" t="inlineStr">
        <is>
          <t>PEDAL PARA INSTR. MUSICAL JOYO ATMOSPHERE ID:JZES09319 - S/N:31730212836</t>
        </is>
      </c>
      <c r="D191" s="31" t="n">
        <v>290</v>
      </c>
      <c r="E191" s="31" t="n">
        <v>290</v>
      </c>
      <c r="F191" s="29" t="inlineStr">
        <is>
          <t>75%</t>
        </is>
      </c>
      <c r="G191" s="32" t="inlineStr">
        <is>
          <t>ver no ML</t>
        </is>
      </c>
    </row>
    <row r="192">
      <c r="A192" s="33" t="n">
        <v>182</v>
      </c>
      <c r="B192" s="33" t="n">
        <v>1</v>
      </c>
      <c r="C192" s="34" t="inlineStr">
        <is>
          <t>PEDAL PARA INSTR. MUSICAL JOYO ATMOSPHERE ID:JZES09319 - S/N:31730212848</t>
        </is>
      </c>
      <c r="D192" s="35" t="n">
        <v>290</v>
      </c>
      <c r="E192" s="35" t="n">
        <v>290</v>
      </c>
      <c r="F192" s="33" t="inlineStr">
        <is>
          <t>75%</t>
        </is>
      </c>
      <c r="G192" s="32" t="inlineStr">
        <is>
          <t>ver no ML</t>
        </is>
      </c>
    </row>
    <row r="193">
      <c r="A193" s="29" t="n">
        <v>183</v>
      </c>
      <c r="B193" s="29" t="n">
        <v>1</v>
      </c>
      <c r="C193" s="30" t="inlineStr">
        <is>
          <t>FONE DE OUVIDO C/MICROFON STEELSERIES HS25 ID:LPBW70393 - N/S:6152145813392302076</t>
        </is>
      </c>
      <c r="D193" s="31" t="n">
        <v>280</v>
      </c>
      <c r="E193" s="31" t="n">
        <v>280</v>
      </c>
      <c r="F193" s="29" t="inlineStr">
        <is>
          <t>62%</t>
        </is>
      </c>
      <c r="G193" s="32" t="inlineStr">
        <is>
          <t>ver no ML</t>
        </is>
      </c>
    </row>
    <row r="194">
      <c r="A194" s="33" t="n">
        <v>184</v>
      </c>
      <c r="B194" s="33" t="n">
        <v>1</v>
      </c>
      <c r="C194" s="34" t="inlineStr">
        <is>
          <t>FONE DE OUVIDO C/MICROFON XBOX STEELSERIES ID:LPBW70393 - S/N:6152145613302305746</t>
        </is>
      </c>
      <c r="D194" s="35" t="n">
        <v>280</v>
      </c>
      <c r="E194" s="35" t="n">
        <v>280</v>
      </c>
      <c r="F194" s="33" t="inlineStr">
        <is>
          <t>62%</t>
        </is>
      </c>
      <c r="G194" s="32" t="inlineStr">
        <is>
          <t>ver no ML</t>
        </is>
      </c>
    </row>
    <row r="195">
      <c r="A195" s="29" t="n">
        <v>185</v>
      </c>
      <c r="B195" s="29" t="n">
        <v>1</v>
      </c>
      <c r="C195" s="30" t="inlineStr">
        <is>
          <t>FONE DE OUVIDO C/MICROFON XBOX STEELSERIES ID:LPBW70393 - S/N:6152145813392302061</t>
        </is>
      </c>
      <c r="D195" s="31" t="n">
        <v>280</v>
      </c>
      <c r="E195" s="31" t="n">
        <v>280</v>
      </c>
      <c r="F195" s="29" t="inlineStr">
        <is>
          <t>62%</t>
        </is>
      </c>
      <c r="G195" s="32" t="inlineStr">
        <is>
          <t>ver no ML</t>
        </is>
      </c>
    </row>
    <row r="196">
      <c r="A196" s="33" t="n">
        <v>186</v>
      </c>
      <c r="B196" s="33" t="n">
        <v>1</v>
      </c>
      <c r="C196" s="34" t="inlineStr">
        <is>
          <t>FONE DE OUVIDO C/MICROFON XBOX STEELSERIES ID:LPBW70393 - S/N:6152145713442304723</t>
        </is>
      </c>
      <c r="D196" s="35" t="n">
        <v>280</v>
      </c>
      <c r="E196" s="35" t="n">
        <v>280</v>
      </c>
      <c r="F196" s="33" t="inlineStr">
        <is>
          <t>62%</t>
        </is>
      </c>
      <c r="G196" s="32" t="inlineStr">
        <is>
          <t>ver no ML</t>
        </is>
      </c>
    </row>
    <row r="197">
      <c r="A197" s="29" t="n">
        <v>187</v>
      </c>
      <c r="B197" s="29" t="n">
        <v>3</v>
      </c>
      <c r="C197" s="30" t="inlineStr">
        <is>
          <t>CANHAO DE LUZ KIT DISCOTECA RGB GLOBO 30CM DELTRONICA 4 CANHOES DE LUZ ID:OYUK95727 SEM S/N</t>
        </is>
      </c>
      <c r="D197" s="31" t="n">
        <v>90</v>
      </c>
      <c r="E197" s="31" t="n">
        <v>270</v>
      </c>
      <c r="F197" s="29" t="inlineStr">
        <is>
          <t>45%</t>
        </is>
      </c>
      <c r="G197" s="32" t="inlineStr">
        <is>
          <t>ver no ML</t>
        </is>
      </c>
    </row>
    <row r="198">
      <c r="A198" s="33" t="n">
        <v>188</v>
      </c>
      <c r="B198" s="33" t="n">
        <v>1</v>
      </c>
      <c r="C198" s="34" t="inlineStr">
        <is>
          <t>FONE DE OUVIDO JBL TUNE 130NC ID:WTJE29452 - S/N:TL1269-JN0549748</t>
        </is>
      </c>
      <c r="D198" s="35" t="n">
        <v>250</v>
      </c>
      <c r="E198" s="35" t="n">
        <v>250</v>
      </c>
      <c r="F198" s="33" t="inlineStr">
        <is>
          <t>75%</t>
        </is>
      </c>
      <c r="G198" s="32" t="inlineStr">
        <is>
          <t>ver no ML</t>
        </is>
      </c>
    </row>
    <row r="199">
      <c r="A199" s="29" t="n">
        <v>189</v>
      </c>
      <c r="B199" s="29" t="n">
        <v>1</v>
      </c>
      <c r="C199" s="30" t="inlineStr">
        <is>
          <t>ACESS DE SOM BEHRINGER UM2 N.S. S220610007AVV</t>
        </is>
      </c>
      <c r="D199" s="31" t="n">
        <v>220</v>
      </c>
      <c r="E199" s="31" t="n">
        <v>220</v>
      </c>
      <c r="F199" s="29" t="inlineStr">
        <is>
          <t>72%</t>
        </is>
      </c>
      <c r="G199" s="32" t="inlineStr">
        <is>
          <t>ver no ML</t>
        </is>
      </c>
    </row>
    <row r="200">
      <c r="A200" s="33" t="n">
        <v>190</v>
      </c>
      <c r="B200" s="33" t="n">
        <v>1</v>
      </c>
      <c r="C200" s="34" t="inlineStr">
        <is>
          <t>TRANSMISSOR P/ INSTR.MUS. M-VAVE AIR BRIDGE ID:IWEG10747 SEM /S:</t>
        </is>
      </c>
      <c r="D200" s="35" t="n">
        <v>220</v>
      </c>
      <c r="E200" s="35" t="n">
        <v>220</v>
      </c>
      <c r="F200" s="33" t="inlineStr">
        <is>
          <t>68%</t>
        </is>
      </c>
      <c r="G200" s="32" t="inlineStr">
        <is>
          <t>ver no ML</t>
        </is>
      </c>
    </row>
    <row r="201">
      <c r="A201" s="29" t="n">
        <v>191</v>
      </c>
      <c r="B201" s="29" t="n">
        <v>1</v>
      </c>
      <c r="C201" s="30" t="inlineStr">
        <is>
          <t>CAIXA ACUSTICA JBL CLIP4</t>
        </is>
      </c>
      <c r="D201" s="31" t="n">
        <v>200</v>
      </c>
      <c r="E201" s="31" t="n">
        <v>200</v>
      </c>
      <c r="F201" s="29" t="inlineStr">
        <is>
          <t>75%</t>
        </is>
      </c>
      <c r="G201" s="32" t="inlineStr">
        <is>
          <t>ver no ML</t>
        </is>
      </c>
    </row>
    <row r="202">
      <c r="A202" s="33" t="n">
        <v>192</v>
      </c>
      <c r="B202" s="33" t="n">
        <v>1</v>
      </c>
      <c r="C202" s="34" t="inlineStr">
        <is>
          <t>CAIXA ACUSTICA INTELIGENTE ALEXIA ECHO DOT KIDS</t>
        </is>
      </c>
      <c r="D202" s="35" t="n">
        <v>200</v>
      </c>
      <c r="E202" s="35" t="n">
        <v>200</v>
      </c>
      <c r="F202" s="33" t="inlineStr">
        <is>
          <t>65%</t>
        </is>
      </c>
      <c r="G202" s="32" t="inlineStr">
        <is>
          <t>ver no ML</t>
        </is>
      </c>
    </row>
    <row r="203">
      <c r="A203" s="29" t="n">
        <v>193</v>
      </c>
      <c r="B203" s="29" t="n">
        <v>1</v>
      </c>
      <c r="C203" s="30" t="inlineStr">
        <is>
          <t>CAIXA ACUSTICA JBL GO4 S.N. CN0111-LN0013372</t>
        </is>
      </c>
      <c r="D203" s="31" t="n">
        <v>180</v>
      </c>
      <c r="E203" s="31" t="n">
        <v>180</v>
      </c>
      <c r="F203" s="29" t="inlineStr">
        <is>
          <t>70%</t>
        </is>
      </c>
      <c r="G203" s="32" t="inlineStr">
        <is>
          <t>ver no ML</t>
        </is>
      </c>
    </row>
    <row r="204">
      <c r="A204" s="33" t="n">
        <v>194</v>
      </c>
      <c r="B204" s="33" t="n">
        <v>1</v>
      </c>
      <c r="C204" s="34" t="inlineStr">
        <is>
          <t>CAIXA ACUSTICA INTELIGENTE ALEXA ECHO POP N.S. G0G2HQ0330930BAV</t>
        </is>
      </c>
      <c r="D204" s="35" t="n">
        <v>170</v>
      </c>
      <c r="E204" s="35" t="n">
        <v>170</v>
      </c>
      <c r="F204" s="33" t="inlineStr">
        <is>
          <t>65%</t>
        </is>
      </c>
      <c r="G204" s="32" t="inlineStr">
        <is>
          <t>ver no ML</t>
        </is>
      </c>
    </row>
    <row r="205">
      <c r="A205" s="29" t="n">
        <v>195</v>
      </c>
      <c r="B205" s="29" t="n">
        <v>1</v>
      </c>
      <c r="C205" s="30" t="inlineStr">
        <is>
          <t>CAIXA ACUSTICA INTELIGENTE AMAZON ALEXA ECHO DOT 4 GERACAO</t>
        </is>
      </c>
      <c r="D205" s="31" t="n">
        <v>160</v>
      </c>
      <c r="E205" s="31" t="n">
        <v>160</v>
      </c>
      <c r="F205" s="29" t="inlineStr">
        <is>
          <t>65%</t>
        </is>
      </c>
      <c r="G205" s="32" t="inlineStr">
        <is>
          <t>ver no ML</t>
        </is>
      </c>
    </row>
    <row r="206">
      <c r="A206" s="33" t="n">
        <v>196</v>
      </c>
      <c r="B206" s="33" t="n">
        <v>1</v>
      </c>
      <c r="C206" s="34" t="inlineStr">
        <is>
          <t>CAIXA ACUSTICA INTELIGENTE AMAZON ALEXA ECHO DOT 4 GERACAO</t>
        </is>
      </c>
      <c r="D206" s="35" t="n">
        <v>160</v>
      </c>
      <c r="E206" s="35" t="n">
        <v>160</v>
      </c>
      <c r="F206" s="33" t="inlineStr">
        <is>
          <t>65%</t>
        </is>
      </c>
      <c r="G206" s="32" t="inlineStr">
        <is>
          <t>ver no ML</t>
        </is>
      </c>
    </row>
    <row r="207">
      <c r="A207" s="29" t="n">
        <v>197</v>
      </c>
      <c r="B207" s="29" t="n">
        <v>1</v>
      </c>
      <c r="C207" s="30" t="inlineStr">
        <is>
          <t>CAIXA ACUSTICA INTELIGENTE ALEXA ECHODOT N.S. G6G22H0741060AKF</t>
        </is>
      </c>
      <c r="D207" s="31" t="n">
        <v>150</v>
      </c>
      <c r="E207" s="31" t="n">
        <v>150</v>
      </c>
      <c r="F207" s="29" t="inlineStr">
        <is>
          <t>72%</t>
        </is>
      </c>
      <c r="G207" s="32" t="inlineStr">
        <is>
          <t>ver no ML</t>
        </is>
      </c>
    </row>
    <row r="208">
      <c r="A208" s="33" t="n">
        <v>198</v>
      </c>
      <c r="B208" s="33" t="n">
        <v>1</v>
      </c>
      <c r="C208" s="34" t="inlineStr">
        <is>
          <t>MICROFONE SHURE SV100</t>
        </is>
      </c>
      <c r="D208" s="35" t="n">
        <v>150</v>
      </c>
      <c r="E208" s="35" t="n">
        <v>150</v>
      </c>
      <c r="F208" s="33" t="inlineStr">
        <is>
          <t>75%</t>
        </is>
      </c>
      <c r="G208" s="32" t="inlineStr">
        <is>
          <t>ver no ML</t>
        </is>
      </c>
    </row>
    <row r="209">
      <c r="A209" s="29" t="n">
        <v>199</v>
      </c>
      <c r="B209" s="29" t="n">
        <v>1</v>
      </c>
      <c r="C209" s="30" t="inlineStr">
        <is>
          <t>CAIXA ACUSTICA INTELIGENTE AMAZON ECHO DOT N.S. G6G22M0634320RT0</t>
        </is>
      </c>
      <c r="D209" s="31" t="n">
        <v>150</v>
      </c>
      <c r="E209" s="31" t="n">
        <v>150</v>
      </c>
      <c r="F209" s="29" t="inlineStr">
        <is>
          <t>72%</t>
        </is>
      </c>
      <c r="G209" s="32" t="inlineStr">
        <is>
          <t>ver no ML</t>
        </is>
      </c>
    </row>
    <row r="210">
      <c r="A210" s="33" t="n">
        <v>200</v>
      </c>
      <c r="B210" s="33" t="n">
        <v>1</v>
      </c>
      <c r="C210" s="34" t="inlineStr">
        <is>
          <t>CAIXA ACUSTICA INTELIGENTE AMAZON ECHO DOT N.S. G6G22M06341203WF</t>
        </is>
      </c>
      <c r="D210" s="35" t="n">
        <v>150</v>
      </c>
      <c r="E210" s="35" t="n">
        <v>150</v>
      </c>
      <c r="F210" s="33" t="inlineStr">
        <is>
          <t>72%</t>
        </is>
      </c>
      <c r="G210" s="32" t="inlineStr">
        <is>
          <t>ver no ML</t>
        </is>
      </c>
    </row>
    <row r="211">
      <c r="A211" s="29" t="n">
        <v>201</v>
      </c>
      <c r="B211" s="29" t="n">
        <v>1</v>
      </c>
      <c r="C211" s="30" t="inlineStr">
        <is>
          <t>CAIXA ACUSTICA INTELIGENTE AMAZON ECHODOT N.S. GRA22H07347600CE</t>
        </is>
      </c>
      <c r="D211" s="31" t="n">
        <v>150</v>
      </c>
      <c r="E211" s="31" t="n">
        <v>150</v>
      </c>
      <c r="F211" s="29" t="inlineStr">
        <is>
          <t>72%</t>
        </is>
      </c>
      <c r="G211" s="32" t="inlineStr">
        <is>
          <t>ver no ML</t>
        </is>
      </c>
    </row>
    <row r="212">
      <c r="A212" s="33" t="n">
        <v>202</v>
      </c>
      <c r="B212" s="33" t="n">
        <v>1</v>
      </c>
      <c r="C212" s="34" t="inlineStr">
        <is>
          <t>ACESS DE SOM BEHRINGER UCA222 N.S. S231103815A31</t>
        </is>
      </c>
      <c r="D212" s="35" t="n">
        <v>120</v>
      </c>
      <c r="E212" s="35" t="n">
        <v>120</v>
      </c>
      <c r="F212" s="33" t="inlineStr">
        <is>
          <t>75%</t>
        </is>
      </c>
      <c r="G212" s="32" t="inlineStr">
        <is>
          <t>ver no ML</t>
        </is>
      </c>
    </row>
    <row r="213">
      <c r="C213" s="26" t="inlineStr">
        <is>
          <t>VALOR DE MERCADO TOTAL</t>
        </is>
      </c>
      <c r="D213" s="27" t="inlineStr"/>
      <c r="E213" s="28">
        <f>SUM(E11:E212)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  <hyperlink xmlns:r="http://schemas.openxmlformats.org/officeDocument/2006/relationships" ref="G90" r:id="rId80"/>
    <hyperlink xmlns:r="http://schemas.openxmlformats.org/officeDocument/2006/relationships" ref="G91" r:id="rId81"/>
    <hyperlink xmlns:r="http://schemas.openxmlformats.org/officeDocument/2006/relationships" ref="G92" r:id="rId82"/>
    <hyperlink xmlns:r="http://schemas.openxmlformats.org/officeDocument/2006/relationships" ref="G93" r:id="rId83"/>
    <hyperlink xmlns:r="http://schemas.openxmlformats.org/officeDocument/2006/relationships" ref="G94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  <hyperlink xmlns:r="http://schemas.openxmlformats.org/officeDocument/2006/relationships" ref="G109" r:id="rId99"/>
    <hyperlink xmlns:r="http://schemas.openxmlformats.org/officeDocument/2006/relationships" ref="G110" r:id="rId100"/>
    <hyperlink xmlns:r="http://schemas.openxmlformats.org/officeDocument/2006/relationships" ref="G111" r:id="rId101"/>
    <hyperlink xmlns:r="http://schemas.openxmlformats.org/officeDocument/2006/relationships" ref="G112" r:id="rId102"/>
    <hyperlink xmlns:r="http://schemas.openxmlformats.org/officeDocument/2006/relationships" ref="G113" r:id="rId103"/>
    <hyperlink xmlns:r="http://schemas.openxmlformats.org/officeDocument/2006/relationships" ref="G114" r:id="rId104"/>
    <hyperlink xmlns:r="http://schemas.openxmlformats.org/officeDocument/2006/relationships" ref="G115" r:id="rId105"/>
    <hyperlink xmlns:r="http://schemas.openxmlformats.org/officeDocument/2006/relationships" ref="G116" r:id="rId106"/>
    <hyperlink xmlns:r="http://schemas.openxmlformats.org/officeDocument/2006/relationships" ref="G117" r:id="rId107"/>
    <hyperlink xmlns:r="http://schemas.openxmlformats.org/officeDocument/2006/relationships" ref="G118" r:id="rId108"/>
    <hyperlink xmlns:r="http://schemas.openxmlformats.org/officeDocument/2006/relationships" ref="G119" r:id="rId109"/>
    <hyperlink xmlns:r="http://schemas.openxmlformats.org/officeDocument/2006/relationships" ref="G120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4" r:id="rId134"/>
    <hyperlink xmlns:r="http://schemas.openxmlformats.org/officeDocument/2006/relationships" ref="G145" r:id="rId135"/>
    <hyperlink xmlns:r="http://schemas.openxmlformats.org/officeDocument/2006/relationships" ref="G146" r:id="rId136"/>
    <hyperlink xmlns:r="http://schemas.openxmlformats.org/officeDocument/2006/relationships" ref="G147" r:id="rId137"/>
    <hyperlink xmlns:r="http://schemas.openxmlformats.org/officeDocument/2006/relationships" ref="G148" r:id="rId138"/>
    <hyperlink xmlns:r="http://schemas.openxmlformats.org/officeDocument/2006/relationships" ref="G149" r:id="rId139"/>
    <hyperlink xmlns:r="http://schemas.openxmlformats.org/officeDocument/2006/relationships" ref="G150" r:id="rId140"/>
    <hyperlink xmlns:r="http://schemas.openxmlformats.org/officeDocument/2006/relationships" ref="G151" r:id="rId141"/>
    <hyperlink xmlns:r="http://schemas.openxmlformats.org/officeDocument/2006/relationships" ref="G152" r:id="rId142"/>
    <hyperlink xmlns:r="http://schemas.openxmlformats.org/officeDocument/2006/relationships" ref="G153" r:id="rId143"/>
    <hyperlink xmlns:r="http://schemas.openxmlformats.org/officeDocument/2006/relationships" ref="G154" r:id="rId144"/>
    <hyperlink xmlns:r="http://schemas.openxmlformats.org/officeDocument/2006/relationships" ref="G155" r:id="rId145"/>
    <hyperlink xmlns:r="http://schemas.openxmlformats.org/officeDocument/2006/relationships" ref="G156" r:id="rId146"/>
    <hyperlink xmlns:r="http://schemas.openxmlformats.org/officeDocument/2006/relationships" ref="G157" r:id="rId147"/>
    <hyperlink xmlns:r="http://schemas.openxmlformats.org/officeDocument/2006/relationships" ref="G158" r:id="rId148"/>
    <hyperlink xmlns:r="http://schemas.openxmlformats.org/officeDocument/2006/relationships" ref="G159" r:id="rId149"/>
    <hyperlink xmlns:r="http://schemas.openxmlformats.org/officeDocument/2006/relationships" ref="G160" r:id="rId150"/>
    <hyperlink xmlns:r="http://schemas.openxmlformats.org/officeDocument/2006/relationships" ref="G161" r:id="rId151"/>
    <hyperlink xmlns:r="http://schemas.openxmlformats.org/officeDocument/2006/relationships" ref="G162" r:id="rId152"/>
    <hyperlink xmlns:r="http://schemas.openxmlformats.org/officeDocument/2006/relationships" ref="G163" r:id="rId153"/>
    <hyperlink xmlns:r="http://schemas.openxmlformats.org/officeDocument/2006/relationships" ref="G164" r:id="rId154"/>
    <hyperlink xmlns:r="http://schemas.openxmlformats.org/officeDocument/2006/relationships" ref="G165" r:id="rId155"/>
    <hyperlink xmlns:r="http://schemas.openxmlformats.org/officeDocument/2006/relationships" ref="G166" r:id="rId156"/>
    <hyperlink xmlns:r="http://schemas.openxmlformats.org/officeDocument/2006/relationships" ref="G167" r:id="rId157"/>
    <hyperlink xmlns:r="http://schemas.openxmlformats.org/officeDocument/2006/relationships" ref="G168" r:id="rId158"/>
    <hyperlink xmlns:r="http://schemas.openxmlformats.org/officeDocument/2006/relationships" ref="G169" r:id="rId159"/>
    <hyperlink xmlns:r="http://schemas.openxmlformats.org/officeDocument/2006/relationships" ref="G170" r:id="rId160"/>
    <hyperlink xmlns:r="http://schemas.openxmlformats.org/officeDocument/2006/relationships" ref="G171" r:id="rId161"/>
    <hyperlink xmlns:r="http://schemas.openxmlformats.org/officeDocument/2006/relationships" ref="G172" r:id="rId162"/>
    <hyperlink xmlns:r="http://schemas.openxmlformats.org/officeDocument/2006/relationships" ref="G173" r:id="rId163"/>
    <hyperlink xmlns:r="http://schemas.openxmlformats.org/officeDocument/2006/relationships" ref="G174" r:id="rId164"/>
    <hyperlink xmlns:r="http://schemas.openxmlformats.org/officeDocument/2006/relationships" ref="G175" r:id="rId165"/>
    <hyperlink xmlns:r="http://schemas.openxmlformats.org/officeDocument/2006/relationships" ref="G176" r:id="rId166"/>
    <hyperlink xmlns:r="http://schemas.openxmlformats.org/officeDocument/2006/relationships" ref="G177" r:id="rId167"/>
    <hyperlink xmlns:r="http://schemas.openxmlformats.org/officeDocument/2006/relationships" ref="G178" r:id="rId168"/>
    <hyperlink xmlns:r="http://schemas.openxmlformats.org/officeDocument/2006/relationships" ref="G179" r:id="rId169"/>
    <hyperlink xmlns:r="http://schemas.openxmlformats.org/officeDocument/2006/relationships" ref="G180" r:id="rId170"/>
    <hyperlink xmlns:r="http://schemas.openxmlformats.org/officeDocument/2006/relationships" ref="G181" r:id="rId171"/>
    <hyperlink xmlns:r="http://schemas.openxmlformats.org/officeDocument/2006/relationships" ref="G182" r:id="rId172"/>
    <hyperlink xmlns:r="http://schemas.openxmlformats.org/officeDocument/2006/relationships" ref="G183" r:id="rId173"/>
    <hyperlink xmlns:r="http://schemas.openxmlformats.org/officeDocument/2006/relationships" ref="G184" r:id="rId174"/>
    <hyperlink xmlns:r="http://schemas.openxmlformats.org/officeDocument/2006/relationships" ref="G185" r:id="rId175"/>
    <hyperlink xmlns:r="http://schemas.openxmlformats.org/officeDocument/2006/relationships" ref="G186" r:id="rId176"/>
    <hyperlink xmlns:r="http://schemas.openxmlformats.org/officeDocument/2006/relationships" ref="G187" r:id="rId177"/>
    <hyperlink xmlns:r="http://schemas.openxmlformats.org/officeDocument/2006/relationships" ref="G188" r:id="rId178"/>
    <hyperlink xmlns:r="http://schemas.openxmlformats.org/officeDocument/2006/relationships" ref="G189" r:id="rId179"/>
    <hyperlink xmlns:r="http://schemas.openxmlformats.org/officeDocument/2006/relationships" ref="G190" r:id="rId180"/>
    <hyperlink xmlns:r="http://schemas.openxmlformats.org/officeDocument/2006/relationships" ref="G191" r:id="rId181"/>
    <hyperlink xmlns:r="http://schemas.openxmlformats.org/officeDocument/2006/relationships" ref="G192" r:id="rId182"/>
    <hyperlink xmlns:r="http://schemas.openxmlformats.org/officeDocument/2006/relationships" ref="G193" r:id="rId183"/>
    <hyperlink xmlns:r="http://schemas.openxmlformats.org/officeDocument/2006/relationships" ref="G194" r:id="rId184"/>
    <hyperlink xmlns:r="http://schemas.openxmlformats.org/officeDocument/2006/relationships" ref="G195" r:id="rId185"/>
    <hyperlink xmlns:r="http://schemas.openxmlformats.org/officeDocument/2006/relationships" ref="G196" r:id="rId186"/>
    <hyperlink xmlns:r="http://schemas.openxmlformats.org/officeDocument/2006/relationships" ref="G197" r:id="rId187"/>
    <hyperlink xmlns:r="http://schemas.openxmlformats.org/officeDocument/2006/relationships" ref="G198" r:id="rId188"/>
    <hyperlink xmlns:r="http://schemas.openxmlformats.org/officeDocument/2006/relationships" ref="G199" r:id="rId189"/>
    <hyperlink xmlns:r="http://schemas.openxmlformats.org/officeDocument/2006/relationships" ref="G200" r:id="rId190"/>
    <hyperlink xmlns:r="http://schemas.openxmlformats.org/officeDocument/2006/relationships" ref="G201" r:id="rId191"/>
    <hyperlink xmlns:r="http://schemas.openxmlformats.org/officeDocument/2006/relationships" ref="G202" r:id="rId192"/>
    <hyperlink xmlns:r="http://schemas.openxmlformats.org/officeDocument/2006/relationships" ref="G203" r:id="rId193"/>
    <hyperlink xmlns:r="http://schemas.openxmlformats.org/officeDocument/2006/relationships" ref="G204" r:id="rId194"/>
    <hyperlink xmlns:r="http://schemas.openxmlformats.org/officeDocument/2006/relationships" ref="G205" r:id="rId195"/>
    <hyperlink xmlns:r="http://schemas.openxmlformats.org/officeDocument/2006/relationships" ref="G206" r:id="rId196"/>
    <hyperlink xmlns:r="http://schemas.openxmlformats.org/officeDocument/2006/relationships" ref="G207" r:id="rId197"/>
    <hyperlink xmlns:r="http://schemas.openxmlformats.org/officeDocument/2006/relationships" ref="G208" r:id="rId198"/>
    <hyperlink xmlns:r="http://schemas.openxmlformats.org/officeDocument/2006/relationships" ref="G209" r:id="rId199"/>
    <hyperlink xmlns:r="http://schemas.openxmlformats.org/officeDocument/2006/relationships" ref="G210" r:id="rId200"/>
    <hyperlink xmlns:r="http://schemas.openxmlformats.org/officeDocument/2006/relationships" ref="G211" r:id="rId201"/>
    <hyperlink xmlns:r="http://schemas.openxmlformats.org/officeDocument/2006/relationships" ref="G212" r:id="rId2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122 — FILMADORA/ACESSÓRIO</t>
        </is>
      </c>
      <c r="I1" s="15">
        <f>HYPERLINK("#'Índice'!A1","↩ voltar ao índice")</f>
        <v/>
      </c>
    </row>
    <row r="2">
      <c r="A2" s="2" t="inlineStr">
        <is>
          <t>Florianópolis  ·  Edital 0900100/000007/2026 · 9ª RF (PR/SC)</t>
        </is>
      </c>
    </row>
    <row r="4">
      <c r="A4" s="16" t="inlineStr">
        <is>
          <t>Preço mínimo (edital)</t>
        </is>
      </c>
      <c r="C4" s="17" t="n">
        <v>72980</v>
      </c>
    </row>
    <row r="5">
      <c r="A5" s="16" t="inlineStr">
        <is>
          <t>Valor de mercado (itens)</t>
        </is>
      </c>
      <c r="C5" s="18" t="n">
        <v>218920</v>
      </c>
    </row>
    <row r="6">
      <c r="A6" s="16" t="inlineStr">
        <is>
          <t>LANCE mínimo (conservador)</t>
        </is>
      </c>
      <c r="C6" s="19" t="n">
        <v>76622</v>
      </c>
    </row>
    <row r="7">
      <c r="A7" s="16" t="inlineStr">
        <is>
          <t>LANCE ideal</t>
        </is>
      </c>
      <c r="C7" s="19" t="n">
        <v>99609</v>
      </c>
    </row>
    <row r="8">
      <c r="A8" s="16" t="inlineStr">
        <is>
          <t>LANCE máximo (agressivo)</t>
        </is>
      </c>
      <c r="C8" s="20" t="n">
        <v>130257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740</v>
      </c>
      <c r="C11" s="30" t="inlineStr">
        <is>
          <t>SSD (SOLID STATE DRIVE) BESTMEMORY SATA 240GB</t>
        </is>
      </c>
      <c r="D11" s="31" t="n">
        <v>130</v>
      </c>
      <c r="E11" s="31" t="n">
        <v>96200</v>
      </c>
      <c r="F11" s="29" t="inlineStr">
        <is>
          <t>80%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RECEIVER A/V MARANTZ MODEL M4 SN:PMCNB062400112</t>
        </is>
      </c>
      <c r="D12" s="35" t="n">
        <v>11000</v>
      </c>
      <c r="E12" s="35" t="n">
        <v>11000</v>
      </c>
      <c r="F12" s="33" t="inlineStr">
        <is>
          <t>75%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PROJETOR DE IMAGEM FORMOVIE X5 4K N.S. 22307/64100063</t>
        </is>
      </c>
      <c r="D13" s="31" t="n">
        <v>8500</v>
      </c>
      <c r="E13" s="31" t="n">
        <v>8500</v>
      </c>
      <c r="F13" s="29" t="inlineStr">
        <is>
          <t>75%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CD PLAYER CAMBRIDGE AUDIO EVO 75 N.S. HT C11223 7153 0052</t>
        </is>
      </c>
      <c r="D14" s="35" t="n">
        <v>8000</v>
      </c>
      <c r="E14" s="35" t="n">
        <v>8000</v>
      </c>
      <c r="F14" s="33" t="inlineStr">
        <is>
          <t>75%</t>
        </is>
      </c>
      <c r="G14" s="32" t="inlineStr">
        <is>
          <t>ver no ML</t>
        </is>
      </c>
    </row>
    <row r="15">
      <c r="A15" s="29" t="n">
        <v>5</v>
      </c>
      <c r="B15" s="29" t="n">
        <v>5</v>
      </c>
      <c r="C15" s="30" t="inlineStr">
        <is>
          <t>CPU MINI - LENOVO CORE I5 - COM ADPTADOR ID:AKYZ73802 SEM N/S</t>
        </is>
      </c>
      <c r="D15" s="31" t="n">
        <v>1200</v>
      </c>
      <c r="E15" s="31" t="n">
        <v>6000</v>
      </c>
      <c r="F15" s="29" t="inlineStr">
        <is>
          <t>75%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RECEIVER A/V ONKYO TX-RZ50 N.S. 0368DC5291602049</t>
        </is>
      </c>
      <c r="D16" s="35" t="n">
        <v>5500</v>
      </c>
      <c r="E16" s="35" t="n">
        <v>5500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GRAVADOR ZOOM PODTRAK P8 N.S. C53019769</t>
        </is>
      </c>
      <c r="D17" s="31" t="n">
        <v>4500</v>
      </c>
      <c r="E17" s="31" t="n">
        <v>4500</v>
      </c>
      <c r="F17" s="29" t="inlineStr">
        <is>
          <t>75%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RECEIVER A/V MARANTZ M-CR612 N.S. BGU27240372929</t>
        </is>
      </c>
      <c r="D18" s="35" t="n">
        <v>3500</v>
      </c>
      <c r="E18" s="35" t="n">
        <v>3500</v>
      </c>
      <c r="F18" s="33" t="inlineStr">
        <is>
          <t>65%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PROJETOR DE IMAGEM EPSON POWER LITE X49 N.S. X8B43304018</t>
        </is>
      </c>
      <c r="D19" s="31" t="n">
        <v>3200</v>
      </c>
      <c r="E19" s="31" t="n">
        <v>3200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CAMERA CIRCUITO FECHADO SMTAV BX30NBK N.S. BX23101316430NDK</t>
        </is>
      </c>
      <c r="D20" s="35" t="n">
        <v>3000</v>
      </c>
      <c r="E20" s="35" t="n">
        <v>3000</v>
      </c>
      <c r="F20" s="33" t="inlineStr">
        <is>
          <t>45%</t>
        </is>
      </c>
      <c r="G20" s="32" t="inlineStr">
        <is>
          <t>ver no ML</t>
        </is>
      </c>
    </row>
    <row r="21">
      <c r="A21" s="29" t="n">
        <v>11</v>
      </c>
      <c r="B21" s="29" t="n">
        <v>3</v>
      </c>
      <c r="C21" s="30" t="inlineStr">
        <is>
          <t>FLASH ELETRONICO YONGNU YN24EX</t>
        </is>
      </c>
      <c r="D21" s="31" t="n">
        <v>950</v>
      </c>
      <c r="E21" s="31" t="n">
        <v>2850</v>
      </c>
      <c r="F21" s="29" t="inlineStr">
        <is>
          <t>65%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LENTE MAQ. FOTOGRAFICA CANON RF 100-400MM ID:DNTO41158 - S/N:915050C00392AA213702000623</t>
        </is>
      </c>
      <c r="D22" s="35" t="n">
        <v>2800</v>
      </c>
      <c r="E22" s="35" t="n">
        <v>2800</v>
      </c>
      <c r="F22" s="33" t="inlineStr">
        <is>
          <t>70%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LENTE MAQ. FOTOGRAFICA CANON RF 100-400MM ID:DNTO41158 - S/N:915050C00392AA213702000616</t>
        </is>
      </c>
      <c r="D23" s="31" t="n">
        <v>2800</v>
      </c>
      <c r="E23" s="31" t="n">
        <v>2800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LENTE MAQ. FOTOGRAFICA SONY 4/18-105 N.S.2425619</t>
        </is>
      </c>
      <c r="D24" s="35" t="n">
        <v>2700</v>
      </c>
      <c r="E24" s="35" t="n">
        <v>2700</v>
      </c>
      <c r="F24" s="33" t="inlineStr">
        <is>
          <t>70%</t>
        </is>
      </c>
      <c r="G24" s="32" t="inlineStr">
        <is>
          <t>ver no ML</t>
        </is>
      </c>
    </row>
    <row r="25">
      <c r="A25" s="29" t="n">
        <v>15</v>
      </c>
      <c r="B25" s="29" t="n">
        <v>2</v>
      </c>
      <c r="C25" s="30" t="inlineStr">
        <is>
          <t>ESTABILIZADOR CAMERA FEIYU TECH SCORP-C ID:JSWG89551</t>
        </is>
      </c>
      <c r="D25" s="31" t="n">
        <v>1300</v>
      </c>
      <c r="E25" s="31" t="n">
        <v>2600</v>
      </c>
      <c r="F25" s="29" t="inlineStr">
        <is>
          <t>70%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LAMPADA XENON CHRISTIE CDXL-16M N.S. LAZHB508P</t>
        </is>
      </c>
      <c r="D26" s="35" t="n">
        <v>2000</v>
      </c>
      <c r="E26" s="35" t="n">
        <v>2000</v>
      </c>
      <c r="F26" s="33" t="inlineStr">
        <is>
          <t>42%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PROJETOR DE IMAGEM VIEWSONIC PS502W ID:TNWG49194 - S/N:X44234401010</t>
        </is>
      </c>
      <c r="D27" s="31" t="n">
        <v>2000</v>
      </c>
      <c r="E27" s="31" t="n">
        <v>2000</v>
      </c>
      <c r="F27" s="29" t="inlineStr">
        <is>
          <t>65%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RECEIVER A/V DENON D M41S N.S. AUT27240374609 KIT</t>
        </is>
      </c>
      <c r="D28" s="35" t="n">
        <v>1900</v>
      </c>
      <c r="E28" s="35" t="n">
        <v>1900</v>
      </c>
      <c r="F28" s="33" t="inlineStr">
        <is>
          <t>65%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TABLET APPLE 64GB - A2696 N.S. D0JJ9V9RVV</t>
        </is>
      </c>
      <c r="D29" s="31" t="n">
        <v>1900</v>
      </c>
      <c r="E29" s="31" t="n">
        <v>1900</v>
      </c>
      <c r="F29" s="29" t="inlineStr">
        <is>
          <t>80%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FILMADORA GOPRO HERO12 BLACK ID 43278267330 - SN C3501324984154</t>
        </is>
      </c>
      <c r="D30" s="35" t="n">
        <v>1700</v>
      </c>
      <c r="E30" s="35" t="n">
        <v>1700</v>
      </c>
      <c r="F30" s="33" t="inlineStr">
        <is>
          <t>75%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MODULO DE POTENCIA GENSET CONTROLLER 4520MKII N.S. A1134307038 - MODULO CONTROLADOR</t>
        </is>
      </c>
      <c r="D31" s="31" t="n">
        <v>1600</v>
      </c>
      <c r="E31" s="31" t="n">
        <v>1600</v>
      </c>
      <c r="F31" s="29" t="inlineStr">
        <is>
          <t>62%</t>
        </is>
      </c>
      <c r="G31" s="32" t="inlineStr">
        <is>
          <t>ver no ML</t>
        </is>
      </c>
    </row>
    <row r="32">
      <c r="A32" s="33" t="n">
        <v>22</v>
      </c>
      <c r="B32" s="33" t="n">
        <v>1</v>
      </c>
      <c r="C32" s="34" t="inlineStr">
        <is>
          <t>FILMADORA GOPRO HERO 12 BLACK N.S. C3501325881434</t>
        </is>
      </c>
      <c r="D32" s="35" t="n">
        <v>1450</v>
      </c>
      <c r="E32" s="35" t="n">
        <v>1450</v>
      </c>
      <c r="F32" s="33" t="inlineStr">
        <is>
          <t>75%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LENTE MAQ. FOTOGRAFICA CANON RF-S 10-18MM ID:PUZQ40334 - S/N:916262C00392AA213901000155</t>
        </is>
      </c>
      <c r="D33" s="31" t="n">
        <v>1450</v>
      </c>
      <c r="E33" s="31" t="n">
        <v>1450</v>
      </c>
      <c r="F33" s="29" t="inlineStr">
        <is>
          <t>75%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LENTE MAQ. FOTOGRAFICA CANON RF 16MM F2.8 STM ID:ZJUA44165 - S/N:915051C00392BA213801002252</t>
        </is>
      </c>
      <c r="D34" s="35" t="n">
        <v>1350</v>
      </c>
      <c r="E34" s="35" t="n">
        <v>1350</v>
      </c>
      <c r="F34" s="33" t="inlineStr">
        <is>
          <t>76%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FILMADORA GOPRO HERO10 N.S. C3464280175327</t>
        </is>
      </c>
      <c r="D35" s="31" t="n">
        <v>1300</v>
      </c>
      <c r="E35" s="31" t="n">
        <v>1300</v>
      </c>
      <c r="F35" s="29" t="inlineStr">
        <is>
          <t>75%</t>
        </is>
      </c>
      <c r="G35" s="32" t="inlineStr">
        <is>
          <t>ver no ML</t>
        </is>
      </c>
    </row>
    <row r="36">
      <c r="A36" s="33" t="n">
        <v>26</v>
      </c>
      <c r="B36" s="33" t="n">
        <v>1</v>
      </c>
      <c r="C36" s="34" t="inlineStr">
        <is>
          <t>FILMADORA GOPRO HERO10 N.S. C3464280172320</t>
        </is>
      </c>
      <c r="D36" s="35" t="n">
        <v>1300</v>
      </c>
      <c r="E36" s="35" t="n">
        <v>1300</v>
      </c>
      <c r="F36" s="33" t="inlineStr">
        <is>
          <t>75%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FILMADORA GOPRO 10 N.S. C3464280175026</t>
        </is>
      </c>
      <c r="D37" s="31" t="n">
        <v>1300</v>
      </c>
      <c r="E37" s="31" t="n">
        <v>1300</v>
      </c>
      <c r="F37" s="29" t="inlineStr">
        <is>
          <t>75%</t>
        </is>
      </c>
      <c r="G37" s="32" t="inlineStr">
        <is>
          <t>ver no ML</t>
        </is>
      </c>
    </row>
    <row r="38">
      <c r="A38" s="33" t="n">
        <v>28</v>
      </c>
      <c r="B38" s="33" t="n">
        <v>1</v>
      </c>
      <c r="C38" s="34" t="inlineStr">
        <is>
          <t>CPU MINI - LENOVO CORE I5 - COM ADPTADOR ID:URPV20272 - N/S:PE02N55H</t>
        </is>
      </c>
      <c r="D38" s="35" t="n">
        <v>1300</v>
      </c>
      <c r="E38" s="35" t="n">
        <v>1300</v>
      </c>
      <c r="F38" s="33" t="inlineStr">
        <is>
          <t>60%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LENTE MAQ. FOTOGRAFICA CANON EF 70-300MM ID:PMIC72061 - S/N:910571C00392AA214111100153</t>
        </is>
      </c>
      <c r="D39" s="31" t="n">
        <v>1100</v>
      </c>
      <c r="E39" s="31" t="n">
        <v>1100</v>
      </c>
      <c r="F39" s="29" t="inlineStr">
        <is>
          <t>62%</t>
        </is>
      </c>
      <c r="G39" s="32" t="inlineStr">
        <is>
          <t>ver no ML</t>
        </is>
      </c>
    </row>
    <row r="40">
      <c r="A40" s="33" t="n">
        <v>30</v>
      </c>
      <c r="B40" s="33" t="n">
        <v>1</v>
      </c>
      <c r="C40" s="34" t="inlineStr">
        <is>
          <t>ESTABILIZADOR CAMERA FEIYUTECH SCORP-C ID:AKYZ75573 - S/N:H078233180764</t>
        </is>
      </c>
      <c r="D40" s="35" t="n">
        <v>1100</v>
      </c>
      <c r="E40" s="35" t="n">
        <v>1100</v>
      </c>
      <c r="F40" s="33" t="inlineStr">
        <is>
          <t>74%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CPU MINI BEELINK SER SERIES ID:BYKX20728 - S/N:99.22338020810</t>
        </is>
      </c>
      <c r="D41" s="31" t="n">
        <v>1100</v>
      </c>
      <c r="E41" s="31" t="n">
        <v>1100</v>
      </c>
      <c r="F41" s="29" t="inlineStr">
        <is>
          <t>55%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ESTABILIZADOR CAMERA FEIYU TECH SCORP-C ID:JSWG89551 - S/N:H078232240261</t>
        </is>
      </c>
      <c r="D42" s="35" t="n">
        <v>1100</v>
      </c>
      <c r="E42" s="35" t="n">
        <v>1100</v>
      </c>
      <c r="F42" s="33" t="inlineStr">
        <is>
          <t>74%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ESTABILIZADOR CAMERA FEIYU TECH SCORP-C ID:JSWG89551 - S/N:H078232240265</t>
        </is>
      </c>
      <c r="D43" s="31" t="n">
        <v>1100</v>
      </c>
      <c r="E43" s="31" t="n">
        <v>1100</v>
      </c>
      <c r="F43" s="29" t="inlineStr">
        <is>
          <t>74%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ESTABILIZADOR CAMERA FEUYU TECH SCORP - C ID:AKYZ75573 - S/N:H078233210228</t>
        </is>
      </c>
      <c r="D44" s="35" t="n">
        <v>1100</v>
      </c>
      <c r="E44" s="35" t="n">
        <v>1100</v>
      </c>
      <c r="F44" s="33" t="inlineStr">
        <is>
          <t>74%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ESTABILIZADOR CAMERA FEUYU TECH SCORP - C ID:AKYZ75573 - S/N:H078233180700</t>
        </is>
      </c>
      <c r="D45" s="31" t="n">
        <v>1100</v>
      </c>
      <c r="E45" s="31" t="n">
        <v>1100</v>
      </c>
      <c r="F45" s="29" t="inlineStr">
        <is>
          <t>74%</t>
        </is>
      </c>
      <c r="G45" s="32" t="inlineStr">
        <is>
          <t>ver no ML</t>
        </is>
      </c>
    </row>
    <row r="46">
      <c r="A46" s="33" t="n">
        <v>36</v>
      </c>
      <c r="B46" s="33" t="n">
        <v>1</v>
      </c>
      <c r="C46" s="34" t="inlineStr">
        <is>
          <t>TABLET XIAOMI REDMI SE 8GB RAM 256GB S.N. 51519/64QD01434</t>
        </is>
      </c>
      <c r="D46" s="35" t="n">
        <v>1000</v>
      </c>
      <c r="E46" s="35" t="n">
        <v>1000</v>
      </c>
      <c r="F46" s="33" t="inlineStr">
        <is>
          <t>74%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TABLET XIAOMI REDMI SE 8GB RAM 256GB S.N. 51552/64NU00126</t>
        </is>
      </c>
      <c r="D47" s="31" t="n">
        <v>1000</v>
      </c>
      <c r="E47" s="31" t="n">
        <v>1000</v>
      </c>
      <c r="F47" s="29" t="inlineStr">
        <is>
          <t>74%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TABLET XIAOMI REDMI SE 8GB RAM 256GB S.N. 51519/64QD03471</t>
        </is>
      </c>
      <c r="D48" s="35" t="n">
        <v>1000</v>
      </c>
      <c r="E48" s="35" t="n">
        <v>1000</v>
      </c>
      <c r="F48" s="33" t="inlineStr">
        <is>
          <t>74%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TABLET XIAOMI REDMI SE 8GB RAM 256GB S.N. 51519/64QD03488</t>
        </is>
      </c>
      <c r="D49" s="31" t="n">
        <v>1000</v>
      </c>
      <c r="E49" s="31" t="n">
        <v>1000</v>
      </c>
      <c r="F49" s="29" t="inlineStr">
        <is>
          <t>74%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TABLET XIAOMI REDMI SE 8GB RAM 256GB S.N. 51518/64SB04859</t>
        </is>
      </c>
      <c r="D50" s="35" t="n">
        <v>1000</v>
      </c>
      <c r="E50" s="35" t="n">
        <v>1000</v>
      </c>
      <c r="F50" s="33" t="inlineStr">
        <is>
          <t>74%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TABLET XIAOMI REDMI SE 8GB RAM 256GB S.N. 51518/64SB02157</t>
        </is>
      </c>
      <c r="D51" s="31" t="n">
        <v>1000</v>
      </c>
      <c r="E51" s="31" t="n">
        <v>1000</v>
      </c>
      <c r="F51" s="29" t="inlineStr">
        <is>
          <t>74%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LENTE MAQ. FOTOGRAFICA SIGMA 17-70MM</t>
        </is>
      </c>
      <c r="D52" s="35" t="n">
        <v>1000</v>
      </c>
      <c r="E52" s="35" t="n">
        <v>1000</v>
      </c>
      <c r="F52" s="33" t="inlineStr">
        <is>
          <t>60%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LENTE MAQ. FOTOGRAFICA CANON EF-S 10-18MM ID:OBEK40784 - S/N:919519B00592AA213659000179</t>
        </is>
      </c>
      <c r="D53" s="31" t="n">
        <v>1000</v>
      </c>
      <c r="E53" s="31" t="n">
        <v>1000</v>
      </c>
      <c r="F53" s="29" t="inlineStr">
        <is>
          <t>70%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CAMERA VIDEO CONFERENCIA MINI PTZ USB/HDMI - PUS-HD5105SL N.S. H510P1532WLT048</t>
        </is>
      </c>
      <c r="D54" s="35" t="n">
        <v>900</v>
      </c>
      <c r="E54" s="35" t="n">
        <v>900</v>
      </c>
      <c r="F54" s="33" t="inlineStr">
        <is>
          <t>38%</t>
        </is>
      </c>
      <c r="G54" s="32" t="inlineStr">
        <is>
          <t>ver no ML</t>
        </is>
      </c>
    </row>
    <row r="55">
      <c r="A55" s="29" t="n">
        <v>45</v>
      </c>
      <c r="B55" s="29" t="n">
        <v>1</v>
      </c>
      <c r="C55" s="30" t="inlineStr">
        <is>
          <t>CAMERA VIDEO CONFERENCIA MINI PTZ USB/HDMI - PUS-HD5105SL N.S. H510P1532WLT005</t>
        </is>
      </c>
      <c r="D55" s="31" t="n">
        <v>900</v>
      </c>
      <c r="E55" s="31" t="n">
        <v>900</v>
      </c>
      <c r="F55" s="29" t="inlineStr">
        <is>
          <t>38%</t>
        </is>
      </c>
      <c r="G55" s="32" t="inlineStr">
        <is>
          <t>ver no ML</t>
        </is>
      </c>
    </row>
    <row r="56">
      <c r="A56" s="33" t="n">
        <v>46</v>
      </c>
      <c r="B56" s="33" t="n">
        <v>1</v>
      </c>
      <c r="C56" s="34" t="inlineStr">
        <is>
          <t>CAMERA VIDEO CONFERENCIA MINI PTZ USB/HDMI - PUS-HD5105SL N.S. H510P1532WLT075</t>
        </is>
      </c>
      <c r="D56" s="35" t="n">
        <v>900</v>
      </c>
      <c r="E56" s="35" t="n">
        <v>900</v>
      </c>
      <c r="F56" s="33" t="inlineStr">
        <is>
          <t>38%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PROJETOR DE IMAGEM WANBO T6 MAX N.S. WWT612AYJ923410474</t>
        </is>
      </c>
      <c r="D57" s="31" t="n">
        <v>900</v>
      </c>
      <c r="E57" s="31" t="n">
        <v>900</v>
      </c>
      <c r="F57" s="29" t="inlineStr">
        <is>
          <t>68%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CPU DELL MINI OPTIPLEX 3050 ID:HBHE80131 - S/N:BV4TRP2</t>
        </is>
      </c>
      <c r="D58" s="35" t="n">
        <v>800</v>
      </c>
      <c r="E58" s="35" t="n">
        <v>800</v>
      </c>
      <c r="F58" s="33" t="inlineStr">
        <is>
          <t>70%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CPU DELL MINI OPTIPLEX 3050 ID:HBHE80131 - S/N:BV3WRP2</t>
        </is>
      </c>
      <c r="D59" s="31" t="n">
        <v>800</v>
      </c>
      <c r="E59" s="31" t="n">
        <v>800</v>
      </c>
      <c r="F59" s="29" t="inlineStr">
        <is>
          <t>70%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PROJETOR DE IMAGEM WAMBO T6MAX ID:ILRC77738 - S/N:WWT622AYJ923190284</t>
        </is>
      </c>
      <c r="D60" s="35" t="n">
        <v>800</v>
      </c>
      <c r="E60" s="35" t="n">
        <v>800</v>
      </c>
      <c r="F60" s="33" t="inlineStr">
        <is>
          <t>70%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PROJETOR DE IMAGEM WAMBO T6MAX ID:ILRC77738 - S/N:WWT622AYJ923190042</t>
        </is>
      </c>
      <c r="D61" s="31" t="n">
        <v>800</v>
      </c>
      <c r="E61" s="31" t="n">
        <v>800</v>
      </c>
      <c r="F61" s="29" t="inlineStr">
        <is>
          <t>70%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TABLET XIAOMI REDMI PAD SE 4GB 128GB N.S. 49299;64SP00457</t>
        </is>
      </c>
      <c r="D62" s="35" t="n">
        <v>750</v>
      </c>
      <c r="E62" s="35" t="n">
        <v>750</v>
      </c>
      <c r="F62" s="33" t="inlineStr">
        <is>
          <t>75%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FLASH ELETRONICO MEIKE MK-MT24 ID:QXAP96229</t>
        </is>
      </c>
      <c r="D63" s="31" t="n">
        <v>750</v>
      </c>
      <c r="E63" s="31" t="n">
        <v>750</v>
      </c>
      <c r="F63" s="29" t="inlineStr">
        <is>
          <t>70%</t>
        </is>
      </c>
      <c r="G63" s="32" t="inlineStr">
        <is>
          <t>ver no ML</t>
        </is>
      </c>
    </row>
    <row r="64">
      <c r="A64" s="33" t="n">
        <v>54</v>
      </c>
      <c r="B64" s="33" t="n">
        <v>1</v>
      </c>
      <c r="C64" s="34" t="inlineStr">
        <is>
          <t>MESA CONTROLE CAMERA CFTV CKB-02V2 N.S.20240122093</t>
        </is>
      </c>
      <c r="D64" s="35" t="n">
        <v>700</v>
      </c>
      <c r="E64" s="35" t="n">
        <v>700</v>
      </c>
      <c r="F64" s="33" t="inlineStr">
        <is>
          <t>45%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LEITOR CARTAO MAGNETICO SUNMI V2PRO N.S. V2C6224P20767</t>
        </is>
      </c>
      <c r="D65" s="31" t="n">
        <v>700</v>
      </c>
      <c r="E65" s="31" t="n">
        <v>700</v>
      </c>
      <c r="F65" s="29" t="inlineStr">
        <is>
          <t>48%</t>
        </is>
      </c>
      <c r="G65" s="32" t="inlineStr">
        <is>
          <t>ver no ML</t>
        </is>
      </c>
    </row>
    <row r="66">
      <c r="A66" s="33" t="n">
        <v>56</v>
      </c>
      <c r="B66" s="33" t="n">
        <v>1</v>
      </c>
      <c r="C66" s="34" t="inlineStr">
        <is>
          <t>HOME THEATER IN-A-BOX/KIT JBL CINEMA SB170 N.S. RS0161-FN0039599</t>
        </is>
      </c>
      <c r="D66" s="35" t="n">
        <v>650</v>
      </c>
      <c r="E66" s="35" t="n">
        <v>650</v>
      </c>
      <c r="F66" s="33" t="inlineStr">
        <is>
          <t>70%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SSD (SOLID STATE DRIVE) SANDISK SSD PLUS 2 TB ID:OGBH94567 - N/S:23465G800350</t>
        </is>
      </c>
      <c r="D67" s="31" t="n">
        <v>650</v>
      </c>
      <c r="E67" s="31" t="n">
        <v>650</v>
      </c>
      <c r="F67" s="29" t="inlineStr">
        <is>
          <t>70%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SSD (SOLID STATE DRIVE) SANDISK SSD PLUS 2 TB ID:OGBH94567 - N/S:23465G800618</t>
        </is>
      </c>
      <c r="D68" s="35" t="n">
        <v>650</v>
      </c>
      <c r="E68" s="35" t="n">
        <v>650</v>
      </c>
      <c r="F68" s="33" t="inlineStr">
        <is>
          <t>70%</t>
        </is>
      </c>
      <c r="G68" s="32" t="inlineStr">
        <is>
          <t>ver no ML</t>
        </is>
      </c>
    </row>
    <row r="69">
      <c r="A69" s="29" t="n">
        <v>59</v>
      </c>
      <c r="B69" s="29" t="n">
        <v>1</v>
      </c>
      <c r="C69" s="30" t="inlineStr">
        <is>
          <t>CPU MINI - LENOVO CORE I3 ID:KQSV15293 - N/S:PE06LR6W</t>
        </is>
      </c>
      <c r="D69" s="31" t="n">
        <v>650</v>
      </c>
      <c r="E69" s="31" t="n">
        <v>650</v>
      </c>
      <c r="F69" s="29" t="inlineStr">
        <is>
          <t>65%</t>
        </is>
      </c>
      <c r="G69" s="32" t="inlineStr">
        <is>
          <t>ver no ML</t>
        </is>
      </c>
    </row>
    <row r="70">
      <c r="A70" s="33" t="n">
        <v>60</v>
      </c>
      <c r="B70" s="33" t="n">
        <v>1</v>
      </c>
      <c r="C70" s="34" t="inlineStr">
        <is>
          <t>SSD (SOLID STATE DRIVE) WD GREEN SATA SSD - 2TB ID:ETCI99161 - N/S:23456N800127</t>
        </is>
      </c>
      <c r="D70" s="35" t="n">
        <v>650</v>
      </c>
      <c r="E70" s="35" t="n">
        <v>650</v>
      </c>
      <c r="F70" s="33" t="inlineStr">
        <is>
          <t>70%</t>
        </is>
      </c>
      <c r="G70" s="32" t="inlineStr">
        <is>
          <t>ver no ML</t>
        </is>
      </c>
    </row>
    <row r="71">
      <c r="A71" s="29" t="n">
        <v>61</v>
      </c>
      <c r="B71" s="29" t="n">
        <v>1</v>
      </c>
      <c r="C71" s="30" t="inlineStr">
        <is>
          <t>SSD (SOLID STATE DRIVE) WD GREEN SN350 - 2TB ID:CEGO97091 - N/S:23171W802785</t>
        </is>
      </c>
      <c r="D71" s="31" t="n">
        <v>650</v>
      </c>
      <c r="E71" s="31" t="n">
        <v>650</v>
      </c>
      <c r="F71" s="29" t="inlineStr">
        <is>
          <t>70%</t>
        </is>
      </c>
      <c r="G71" s="32" t="inlineStr">
        <is>
          <t>ver no ML</t>
        </is>
      </c>
    </row>
    <row r="72">
      <c r="A72" s="33" t="n">
        <v>62</v>
      </c>
      <c r="B72" s="33" t="n">
        <v>1</v>
      </c>
      <c r="C72" s="34" t="inlineStr">
        <is>
          <t>BLU-RAY PLAYER SONY BDP-S6700 N.S. S011063729E</t>
        </is>
      </c>
      <c r="D72" s="35" t="n">
        <v>550</v>
      </c>
      <c r="E72" s="35" t="n">
        <v>550</v>
      </c>
      <c r="F72" s="33" t="inlineStr">
        <is>
          <t>58%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BLU-RAY PLAYER SONY BDP-S6700 N.S. S0110639038</t>
        </is>
      </c>
      <c r="D73" s="31" t="n">
        <v>550</v>
      </c>
      <c r="E73" s="31" t="n">
        <v>550</v>
      </c>
      <c r="F73" s="29" t="inlineStr">
        <is>
          <t>58%</t>
        </is>
      </c>
      <c r="G73" s="32" t="inlineStr">
        <is>
          <t>ver no ML</t>
        </is>
      </c>
    </row>
    <row r="74">
      <c r="A74" s="33" t="n">
        <v>64</v>
      </c>
      <c r="B74" s="33" t="n">
        <v>1</v>
      </c>
      <c r="C74" s="34" t="inlineStr">
        <is>
          <t>BLU-RAY PLAYER SONY BDP-S6700 N.S. S0110639027</t>
        </is>
      </c>
      <c r="D74" s="35" t="n">
        <v>550</v>
      </c>
      <c r="E74" s="35" t="n">
        <v>550</v>
      </c>
      <c r="F74" s="33" t="inlineStr">
        <is>
          <t>58%</t>
        </is>
      </c>
      <c r="G74" s="32" t="inlineStr">
        <is>
          <t>ver no ML</t>
        </is>
      </c>
    </row>
    <row r="75">
      <c r="A75" s="29" t="n">
        <v>65</v>
      </c>
      <c r="B75" s="29" t="n">
        <v>1</v>
      </c>
      <c r="C75" s="30" t="inlineStr">
        <is>
          <t>PARTES E PECAS CAMERA DIG GODOX TT685II MAIS ACESSORIOS ID:CYHG9841 - S/NM24A087526:</t>
        </is>
      </c>
      <c r="D75" s="31" t="n">
        <v>550</v>
      </c>
      <c r="E75" s="31" t="n">
        <v>550</v>
      </c>
      <c r="F75" s="29" t="inlineStr">
        <is>
          <t>63%</t>
        </is>
      </c>
      <c r="G75" s="32" t="inlineStr">
        <is>
          <t>ver no ML</t>
        </is>
      </c>
    </row>
    <row r="76">
      <c r="A76" s="33" t="n">
        <v>66</v>
      </c>
      <c r="B76" s="33" t="n">
        <v>1</v>
      </c>
      <c r="C76" s="34" t="inlineStr">
        <is>
          <t>FLASH ELETRONICO GODOX TT685N ID:43300992014 - SEM S/N</t>
        </is>
      </c>
      <c r="D76" s="35" t="n">
        <v>520</v>
      </c>
      <c r="E76" s="35" t="n">
        <v>520</v>
      </c>
      <c r="F76" s="33" t="inlineStr">
        <is>
          <t>70%</t>
        </is>
      </c>
      <c r="G76" s="32" t="inlineStr">
        <is>
          <t>ver no ML</t>
        </is>
      </c>
    </row>
    <row r="77">
      <c r="A77" s="29" t="n">
        <v>67</v>
      </c>
      <c r="B77" s="29" t="n">
        <v>1</v>
      </c>
      <c r="C77" s="30" t="inlineStr">
        <is>
          <t>PROJETOR DE IMAGEM WAMBO T4 N.S. WWT411ABZ323500053</t>
        </is>
      </c>
      <c r="D77" s="31" t="n">
        <v>450</v>
      </c>
      <c r="E77" s="31" t="n">
        <v>450</v>
      </c>
      <c r="F77" s="29" t="inlineStr">
        <is>
          <t>58%</t>
        </is>
      </c>
      <c r="G77" s="32" t="inlineStr">
        <is>
          <t>ver no ML</t>
        </is>
      </c>
    </row>
    <row r="78">
      <c r="A78" s="33" t="n">
        <v>68</v>
      </c>
      <c r="B78" s="33" t="n">
        <v>1</v>
      </c>
      <c r="C78" s="34" t="inlineStr">
        <is>
          <t>TABLET AMAZON FIRE HD 10 ID:PELR17490 - S/N:GN434J023283018P</t>
        </is>
      </c>
      <c r="D78" s="35" t="n">
        <v>450</v>
      </c>
      <c r="E78" s="35" t="n">
        <v>450</v>
      </c>
      <c r="F78" s="33" t="inlineStr">
        <is>
          <t>62%</t>
        </is>
      </c>
      <c r="G78" s="32" t="inlineStr">
        <is>
          <t>ver no ML</t>
        </is>
      </c>
    </row>
    <row r="79">
      <c r="A79" s="29" t="n">
        <v>69</v>
      </c>
      <c r="B79" s="29" t="n">
        <v>2</v>
      </c>
      <c r="C79" s="30" t="inlineStr">
        <is>
          <t>PROJETOR DE IMAGEM BETTDOW AC1038 ID:TRGL67677</t>
        </is>
      </c>
      <c r="D79" s="31" t="n">
        <v>220</v>
      </c>
      <c r="E79" s="31" t="n">
        <v>440</v>
      </c>
      <c r="F79" s="29" t="inlineStr">
        <is>
          <t>55%</t>
        </is>
      </c>
      <c r="G79" s="32" t="inlineStr">
        <is>
          <t>ver no ML</t>
        </is>
      </c>
    </row>
    <row r="80">
      <c r="A80" s="33" t="n">
        <v>70</v>
      </c>
      <c r="B80" s="33" t="n">
        <v>1</v>
      </c>
      <c r="C80" s="34" t="inlineStr">
        <is>
          <t>FLASH ELETRONICO TRIOPO TR-988 S.N. 87371994</t>
        </is>
      </c>
      <c r="D80" s="35" t="n">
        <v>400</v>
      </c>
      <c r="E80" s="35" t="n">
        <v>400</v>
      </c>
      <c r="F80" s="33" t="inlineStr">
        <is>
          <t>75%</t>
        </is>
      </c>
      <c r="G80" s="32" t="inlineStr">
        <is>
          <t>ver no ML</t>
        </is>
      </c>
    </row>
    <row r="81">
      <c r="A81" s="29" t="n">
        <v>71</v>
      </c>
      <c r="B81" s="29" t="n">
        <v>1</v>
      </c>
      <c r="C81" s="30" t="inlineStr">
        <is>
          <t>LENTE MAQ. FOTOGRAFICA JINTU</t>
        </is>
      </c>
      <c r="D81" s="31" t="n">
        <v>350</v>
      </c>
      <c r="E81" s="31" t="n">
        <v>350</v>
      </c>
      <c r="F81" s="29" t="inlineStr">
        <is>
          <t>55%</t>
        </is>
      </c>
      <c r="G81" s="32" t="inlineStr">
        <is>
          <t>ver no ML</t>
        </is>
      </c>
    </row>
    <row r="82">
      <c r="A82" s="33" t="n">
        <v>72</v>
      </c>
      <c r="B82" s="33" t="n">
        <v>1</v>
      </c>
      <c r="C82" s="34" t="inlineStr">
        <is>
          <t>MICROCOMPUTADOR MLLSE M2 - INTEL N3350 WINDOWS 10 ID:QEIE72809 - S/N:SS2401031A1652</t>
        </is>
      </c>
      <c r="D82" s="35" t="n">
        <v>280</v>
      </c>
      <c r="E82" s="35" t="n">
        <v>280</v>
      </c>
      <c r="F82" s="33" t="inlineStr">
        <is>
          <t>70%</t>
        </is>
      </c>
      <c r="G82" s="32" t="inlineStr">
        <is>
          <t>ver no ML</t>
        </is>
      </c>
    </row>
    <row r="83">
      <c r="A83" s="29" t="n">
        <v>73</v>
      </c>
      <c r="B83" s="29" t="n">
        <v>1</v>
      </c>
      <c r="C83" s="30" t="inlineStr">
        <is>
          <t>BATERIA DE MAQ.FOTOGRAF. CANON LP-E6NH ID:EOAA41444 - SEM S/N</t>
        </is>
      </c>
      <c r="D83" s="31" t="n">
        <v>220</v>
      </c>
      <c r="E83" s="31" t="n">
        <v>220</v>
      </c>
      <c r="F83" s="29" t="inlineStr">
        <is>
          <t>75%</t>
        </is>
      </c>
      <c r="G83" s="32" t="inlineStr">
        <is>
          <t>ver no ML</t>
        </is>
      </c>
    </row>
    <row r="84">
      <c r="A84" s="33" t="n">
        <v>74</v>
      </c>
      <c r="B84" s="33" t="n">
        <v>1</v>
      </c>
      <c r="C84" s="34" t="inlineStr">
        <is>
          <t>GRAVADOR DE VIDEO DIGITAL EZCAP VHSDIGI</t>
        </is>
      </c>
      <c r="D84" s="35" t="n">
        <v>180</v>
      </c>
      <c r="E84" s="35" t="n">
        <v>180</v>
      </c>
      <c r="F84" s="33" t="inlineStr">
        <is>
          <t>68%</t>
        </is>
      </c>
      <c r="G84" s="32" t="inlineStr">
        <is>
          <t>ver no ML</t>
        </is>
      </c>
    </row>
    <row r="85">
      <c r="A85" s="29" t="n">
        <v>75</v>
      </c>
      <c r="B85" s="29" t="n">
        <v>1</v>
      </c>
      <c r="C85" s="30" t="inlineStr">
        <is>
          <t>FLASH ELETRONICO TRIOPO TR-950 S.N. 87372914</t>
        </is>
      </c>
      <c r="D85" s="31" t="n">
        <v>180</v>
      </c>
      <c r="E85" s="31" t="n">
        <v>180</v>
      </c>
      <c r="F85" s="29" t="inlineStr">
        <is>
          <t>78%</t>
        </is>
      </c>
      <c r="G85" s="32" t="inlineStr">
        <is>
          <t>ver no ML</t>
        </is>
      </c>
    </row>
    <row r="86">
      <c r="A86" s="33" t="n">
        <v>76</v>
      </c>
      <c r="B86" s="33" t="n">
        <v>1</v>
      </c>
      <c r="C86" s="34" t="inlineStr">
        <is>
          <t>TABLET PRITON TRONPAD P7 N.S. 696522273507</t>
        </is>
      </c>
      <c r="D86" s="35" t="n">
        <v>160</v>
      </c>
      <c r="E86" s="35" t="n">
        <v>160</v>
      </c>
      <c r="F86" s="33" t="inlineStr">
        <is>
          <t>65%</t>
        </is>
      </c>
      <c r="G86" s="32" t="inlineStr">
        <is>
          <t>ver no ML</t>
        </is>
      </c>
    </row>
    <row r="87">
      <c r="A87" s="29" t="n">
        <v>77</v>
      </c>
      <c r="B87" s="29" t="n">
        <v>1</v>
      </c>
      <c r="C87" s="30" t="inlineStr">
        <is>
          <t>BATERIA DE FILMADORA GOPRO RECHARGEABLE BATTERY HERO 9 BLACK ID:GLVG49059</t>
        </is>
      </c>
      <c r="D87" s="31" t="n">
        <v>90</v>
      </c>
      <c r="E87" s="31" t="n">
        <v>90</v>
      </c>
      <c r="F87" s="29" t="inlineStr">
        <is>
          <t>70%</t>
        </is>
      </c>
      <c r="G87" s="32" t="inlineStr">
        <is>
          <t>ver no ML</t>
        </is>
      </c>
    </row>
    <row r="88">
      <c r="A88" s="22" t="n">
        <v>78</v>
      </c>
      <c r="B88" s="22" t="n">
        <v>1</v>
      </c>
      <c r="C88" s="23" t="inlineStr">
        <is>
          <t>LEITOR OTICO CD-ROM</t>
        </is>
      </c>
      <c r="D88" s="24" t="inlineStr">
        <is>
          <t>—</t>
        </is>
      </c>
      <c r="E88" s="24" t="inlineStr">
        <is>
          <t>—</t>
        </is>
      </c>
      <c r="F88" s="22" t="inlineStr">
        <is>
          <t>s/ preço</t>
        </is>
      </c>
      <c r="G88" s="25" t="inlineStr">
        <is>
          <t>ver no ML</t>
        </is>
      </c>
    </row>
    <row r="89">
      <c r="A89" s="22" t="n">
        <v>79</v>
      </c>
      <c r="B89" s="22" t="n">
        <v>1</v>
      </c>
      <c r="C89" s="23" t="inlineStr">
        <is>
          <t>PARTES E PECAS CAMERA DIG LIVEPRO L1 MULTI-FORMAT VIDEO MIXER</t>
        </is>
      </c>
      <c r="D89" s="24" t="inlineStr">
        <is>
          <t>—</t>
        </is>
      </c>
      <c r="E89" s="24" t="inlineStr">
        <is>
          <t>—</t>
        </is>
      </c>
      <c r="F89" s="22" t="inlineStr">
        <is>
          <t>s/ preço</t>
        </is>
      </c>
      <c r="G89" s="25" t="inlineStr">
        <is>
          <t>ver no ML</t>
        </is>
      </c>
    </row>
    <row r="90">
      <c r="C90" s="26" t="inlineStr">
        <is>
          <t>VALOR DE MERCADO TOTAL</t>
        </is>
      </c>
      <c r="D90" s="27" t="inlineStr"/>
      <c r="E90" s="28">
        <f>SUM(E11:E89)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152 — BICICLETA/ACESSÓRIO</t>
        </is>
      </c>
      <c r="I1" s="15">
        <f>HYPERLINK("#'Índice'!A1","↩ voltar ao índice")</f>
        <v/>
      </c>
    </row>
    <row r="2">
      <c r="A2" s="2" t="inlineStr">
        <is>
          <t>Foz do Iguaçu  ·  Edital 0900100/000007/2026 · 9ª RF (PR/SC)</t>
        </is>
      </c>
    </row>
    <row r="4">
      <c r="A4" s="16" t="inlineStr">
        <is>
          <t>Preço mínimo (edital)</t>
        </is>
      </c>
      <c r="C4" s="17" t="n">
        <v>12000</v>
      </c>
    </row>
    <row r="5">
      <c r="A5" s="16" t="inlineStr">
        <is>
          <t>Valor de mercado (itens)</t>
        </is>
      </c>
      <c r="C5" s="18" t="n">
        <v>16000</v>
      </c>
    </row>
    <row r="6">
      <c r="A6" s="16" t="inlineStr">
        <is>
          <t>LANCE mínimo (conservador)</t>
        </is>
      </c>
      <c r="C6" s="19" t="n">
        <v>5600</v>
      </c>
    </row>
    <row r="7">
      <c r="A7" s="16" t="inlineStr">
        <is>
          <t>LANCE ideal</t>
        </is>
      </c>
      <c r="C7" s="19" t="n">
        <v>7280</v>
      </c>
    </row>
    <row r="8">
      <c r="A8" s="16" t="inlineStr">
        <is>
          <t>LANCE máximo (agressivo)</t>
        </is>
      </c>
      <c r="C8" s="20" t="n">
        <v>9520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BICICLETA CERVELO P-SERIES 105 NOVA SN 56524D097</t>
        </is>
      </c>
      <c r="D11" s="31" t="n">
        <v>16000</v>
      </c>
      <c r="E11" s="31" t="n">
        <v>16000</v>
      </c>
      <c r="F11" s="29" t="inlineStr">
        <is>
          <t>70%</t>
        </is>
      </c>
      <c r="G11" s="32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154 — ELETRÔNICO/ÁUDIO/VÍDEO</t>
        </is>
      </c>
      <c r="I1" s="15">
        <f>HYPERLINK("#'Índice'!A1","↩ voltar ao índice")</f>
        <v/>
      </c>
    </row>
    <row r="2">
      <c r="A2" s="2" t="inlineStr">
        <is>
          <t>Foz do Iguaçu  ·  Edital 0900100/000007/2026 · 9ª RF (PR/SC)</t>
        </is>
      </c>
    </row>
    <row r="4">
      <c r="A4" s="16" t="inlineStr">
        <is>
          <t>Preço mínimo (edital)</t>
        </is>
      </c>
      <c r="C4" s="17" t="n">
        <v>57000</v>
      </c>
    </row>
    <row r="5">
      <c r="A5" s="16" t="inlineStr">
        <is>
          <t>Valor de mercado (itens)</t>
        </is>
      </c>
      <c r="C5" s="18" t="n">
        <v>151650</v>
      </c>
    </row>
    <row r="6">
      <c r="A6" s="16" t="inlineStr">
        <is>
          <t>LANCE mínimo (conservador)</t>
        </is>
      </c>
      <c r="C6" s="19" t="n">
        <v>53078</v>
      </c>
    </row>
    <row r="7">
      <c r="A7" s="16" t="inlineStr">
        <is>
          <t>LANCE ideal</t>
        </is>
      </c>
      <c r="C7" s="19" t="n">
        <v>69001</v>
      </c>
    </row>
    <row r="8">
      <c r="A8" s="16" t="inlineStr">
        <is>
          <t>LANCE máximo (agressivo)</t>
        </is>
      </c>
      <c r="C8" s="20" t="n">
        <v>90232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3</v>
      </c>
      <c r="C11" s="30" t="inlineStr">
        <is>
          <t>MESA DE SOM YAMAHA DM3 S/SERIAL</t>
        </is>
      </c>
      <c r="D11" s="31" t="n">
        <v>12000</v>
      </c>
      <c r="E11" s="31" t="n">
        <v>36000</v>
      </c>
      <c r="F11" s="29" t="inlineStr">
        <is>
          <t>70%</t>
        </is>
      </c>
      <c r="G11" s="32" t="inlineStr">
        <is>
          <t>ver no ML</t>
        </is>
      </c>
    </row>
    <row r="12">
      <c r="A12" s="33" t="n">
        <v>2</v>
      </c>
      <c r="B12" s="33" t="n">
        <v>30</v>
      </c>
      <c r="C12" s="34" t="inlineStr">
        <is>
          <t>TABLET XIAOMI REDMI PAD SE 256GB</t>
        </is>
      </c>
      <c r="D12" s="35" t="n">
        <v>850</v>
      </c>
      <c r="E12" s="35" t="n">
        <v>25500</v>
      </c>
      <c r="F12" s="33" t="inlineStr">
        <is>
          <t>75%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MESA DE SOM MIDAS M32 LIVE NS:000-C7R01-00010</t>
        </is>
      </c>
      <c r="D13" s="31" t="n">
        <v>20000</v>
      </c>
      <c r="E13" s="31" t="n">
        <v>20000</v>
      </c>
      <c r="F13" s="29" t="inlineStr">
        <is>
          <t>65%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MESA DE SOM MIDAS M32 NS:S230801572C7R</t>
        </is>
      </c>
      <c r="D14" s="35" t="n">
        <v>18000</v>
      </c>
      <c r="E14" s="35" t="n">
        <v>18000</v>
      </c>
      <c r="F14" s="33" t="inlineStr">
        <is>
          <t>65%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BATERIA DJI BAX601-30.000 MAH</t>
        </is>
      </c>
      <c r="D15" s="31" t="n">
        <v>11000</v>
      </c>
      <c r="E15" s="31" t="n">
        <v>11000</v>
      </c>
      <c r="F15" s="29" t="inlineStr">
        <is>
          <t>70%</t>
        </is>
      </c>
      <c r="G15" s="32" t="inlineStr">
        <is>
          <t>ver no ML</t>
        </is>
      </c>
    </row>
    <row r="16">
      <c r="A16" s="33" t="n">
        <v>6</v>
      </c>
      <c r="B16" s="33" t="n">
        <v>7</v>
      </c>
      <c r="C16" s="34" t="inlineStr">
        <is>
          <t>MICROFONE SEM FIO HOLLYLAND LARK M2S COMBO</t>
        </is>
      </c>
      <c r="D16" s="35" t="n">
        <v>600</v>
      </c>
      <c r="E16" s="35" t="n">
        <v>4200</v>
      </c>
      <c r="F16" s="33" t="inlineStr">
        <is>
          <t>74%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CAIXA ACUSTICA BOSE S1 PRO PLUS NS:083734X32120186AE</t>
        </is>
      </c>
      <c r="D17" s="31" t="n">
        <v>3800</v>
      </c>
      <c r="E17" s="31" t="n">
        <v>3800</v>
      </c>
      <c r="F17" s="29" t="inlineStr">
        <is>
          <t>70%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CAIXA ACUSTICA BOSE S1 PRO PLUS NS:083734X32120179AE</t>
        </is>
      </c>
      <c r="D18" s="35" t="n">
        <v>3800</v>
      </c>
      <c r="E18" s="35" t="n">
        <v>3800</v>
      </c>
      <c r="F18" s="33" t="inlineStr">
        <is>
          <t>70%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AMPLIFICADOR LINE 6 HX STOMP XL NS:21HXL1M7324008730</t>
        </is>
      </c>
      <c r="D19" s="31" t="n">
        <v>3700</v>
      </c>
      <c r="E19" s="31" t="n">
        <v>3700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2</v>
      </c>
      <c r="C20" s="34" t="inlineStr">
        <is>
          <t>PAINEL DE LED PRO LIGHT UK LMITED 96X96</t>
        </is>
      </c>
      <c r="D20" s="35" t="n">
        <v>1800</v>
      </c>
      <c r="E20" s="35" t="n">
        <v>3600</v>
      </c>
      <c r="F20" s="33" t="inlineStr">
        <is>
          <t>65%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MICROFONE SHURE DRUM KIT 7 PECAS A042356481253685545675A////Embalagem molhada.</t>
        </is>
      </c>
      <c r="D21" s="31" t="n">
        <v>3500</v>
      </c>
      <c r="E21" s="31" t="n">
        <v>3500</v>
      </c>
      <c r="F21" s="29" t="inlineStr">
        <is>
          <t>65%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CAIXA ACUSTICA BOSE S1 PRO PLUS NS:083734X31450230AE</t>
        </is>
      </c>
      <c r="D22" s="35" t="n">
        <v>3400</v>
      </c>
      <c r="E22" s="35" t="n">
        <v>3400</v>
      </c>
      <c r="F22" s="33" t="inlineStr">
        <is>
          <t>62%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MODULO DE POTENCIA PARA BATERIA ACUSTICA YAMAHA EAD10 NS:21JEEI01125</t>
        </is>
      </c>
      <c r="D23" s="31" t="n">
        <v>3200</v>
      </c>
      <c r="E23" s="31" t="n">
        <v>3200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AMPLIFICADOR AMPEG SGT-DI NS:21SGD1V7347000235</t>
        </is>
      </c>
      <c r="D24" s="35" t="n">
        <v>1900</v>
      </c>
      <c r="E24" s="35" t="n">
        <v>1900</v>
      </c>
      <c r="F24" s="33" t="inlineStr">
        <is>
          <t>62%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MICROFONE SHURE KIT NS:2CD29652555////Embalagem molhada.</t>
        </is>
      </c>
      <c r="D25" s="31" t="n">
        <v>1800</v>
      </c>
      <c r="E25" s="31" t="n">
        <v>1800</v>
      </c>
      <c r="F25" s="29" t="inlineStr">
        <is>
          <t>45%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MICROFONE SHURE KIT NS:2CD29652517////Embalagem molhada.</t>
        </is>
      </c>
      <c r="D26" s="35" t="n">
        <v>1800</v>
      </c>
      <c r="E26" s="35" t="n">
        <v>1800</v>
      </c>
      <c r="F26" s="33" t="inlineStr">
        <is>
          <t>45%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MICROFONE SHURE KIT NS:2CD29652543////Embalagem molhada.</t>
        </is>
      </c>
      <c r="D27" s="31" t="n">
        <v>1800</v>
      </c>
      <c r="E27" s="31" t="n">
        <v>1800</v>
      </c>
      <c r="F27" s="29" t="inlineStr">
        <is>
          <t>45%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PATINETE ELETRICO FOSTON S9 PRO CD36V2306Y213449</t>
        </is>
      </c>
      <c r="D28" s="35" t="n">
        <v>1400</v>
      </c>
      <c r="E28" s="35" t="n">
        <v>1400</v>
      </c>
      <c r="F28" s="33" t="inlineStr">
        <is>
          <t>70%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PATINETE XIAOMI S/NS</t>
        </is>
      </c>
      <c r="D29" s="31" t="n">
        <v>1300</v>
      </c>
      <c r="E29" s="31" t="n">
        <v>1300</v>
      </c>
      <c r="F29" s="29" t="inlineStr">
        <is>
          <t>50%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ACESS DE SOM MXR CSP039</t>
        </is>
      </c>
      <c r="D30" s="35" t="n">
        <v>1050</v>
      </c>
      <c r="E30" s="35" t="n">
        <v>1050</v>
      </c>
      <c r="F30" s="33" t="inlineStr">
        <is>
          <t>70%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ACESS DE SOM XOTIC EFFECTS USA BB PLUS</t>
        </is>
      </c>
      <c r="D31" s="31" t="n">
        <v>900</v>
      </c>
      <c r="E31" s="31" t="n">
        <v>900</v>
      </c>
      <c r="F31" s="29" t="inlineStr">
        <is>
          <t>75%</t>
        </is>
      </c>
      <c r="G31" s="32" t="inlineStr">
        <is>
          <t>ver no ML</t>
        </is>
      </c>
    </row>
    <row r="32">
      <c r="C32" s="26" t="inlineStr">
        <is>
          <t>VALOR DE MERCADO TOTAL</t>
        </is>
      </c>
      <c r="D32" s="27" t="inlineStr"/>
      <c r="E32" s="28">
        <f>SUM(E11:E31)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155 — INFORMÁTICA</t>
        </is>
      </c>
      <c r="I1" s="15">
        <f>HYPERLINK("#'Índice'!A1","↩ voltar ao índice")</f>
        <v/>
      </c>
    </row>
    <row r="2">
      <c r="A2" s="2" t="inlineStr">
        <is>
          <t>Foz do Iguaçu  ·  Edital 0900100/000007/2026 · 9ª RF (PR/SC)</t>
        </is>
      </c>
    </row>
    <row r="4">
      <c r="A4" s="16" t="inlineStr">
        <is>
          <t>Preço mínimo (edital)</t>
        </is>
      </c>
      <c r="C4" s="17" t="n">
        <v>92000</v>
      </c>
    </row>
    <row r="5">
      <c r="A5" s="16" t="inlineStr">
        <is>
          <t>Valor de mercado (itens)</t>
        </is>
      </c>
      <c r="C5" s="18" t="n">
        <v>230900</v>
      </c>
    </row>
    <row r="6">
      <c r="A6" s="16" t="inlineStr">
        <is>
          <t>LANCE mínimo (conservador)</t>
        </is>
      </c>
      <c r="C6" s="19" t="n">
        <v>80815</v>
      </c>
    </row>
    <row r="7">
      <c r="A7" s="16" t="inlineStr">
        <is>
          <t>LANCE ideal</t>
        </is>
      </c>
      <c r="C7" s="19" t="n">
        <v>105060</v>
      </c>
    </row>
    <row r="8">
      <c r="A8" s="16" t="inlineStr">
        <is>
          <t>LANCE máximo (agressivo)</t>
        </is>
      </c>
      <c r="C8" s="20" t="n">
        <v>137386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TABLET APPLE A2696 64GB NS:SMJ4CPYN0J5</t>
        </is>
      </c>
      <c r="D11" s="31" t="n">
        <v>1900</v>
      </c>
      <c r="E11" s="31" t="n">
        <v>1900</v>
      </c>
      <c r="F11" s="29" t="inlineStr">
        <is>
          <t>80%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TABLET APPLE A2696 64GB NS:SDJ7QF7JYYY</t>
        </is>
      </c>
      <c r="D12" s="35" t="n">
        <v>1900</v>
      </c>
      <c r="E12" s="35" t="n">
        <v>1900</v>
      </c>
      <c r="F12" s="33" t="inlineStr">
        <is>
          <t>80%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TABLET APPLE A2696 64GB NS:SVHHG6Q3KV6</t>
        </is>
      </c>
      <c r="D13" s="31" t="n">
        <v>1900</v>
      </c>
      <c r="E13" s="31" t="n">
        <v>1900</v>
      </c>
      <c r="F13" s="29" t="inlineStr">
        <is>
          <t>70%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TABLET APPLE A2696 64GB NS:SGD6P39V79L</t>
        </is>
      </c>
      <c r="D14" s="35" t="n">
        <v>1900</v>
      </c>
      <c r="E14" s="35" t="n">
        <v>1900</v>
      </c>
      <c r="F14" s="33" t="inlineStr">
        <is>
          <t>70%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TABLET APPLE A2696 64GB NS:SDL7WNDWWRD</t>
        </is>
      </c>
      <c r="D15" s="31" t="n">
        <v>1900</v>
      </c>
      <c r="E15" s="31" t="n">
        <v>1900</v>
      </c>
      <c r="F15" s="29" t="inlineStr">
        <is>
          <t>70%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TABLET APPLE A2696 64GB NS:SHQTTH4QYNR</t>
        </is>
      </c>
      <c r="D16" s="35" t="n">
        <v>1900</v>
      </c>
      <c r="E16" s="35" t="n">
        <v>1900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TABLET APPLE A2696 64GB NS:SJG73QTV09M</t>
        </is>
      </c>
      <c r="D17" s="31" t="n">
        <v>1900</v>
      </c>
      <c r="E17" s="31" t="n">
        <v>1900</v>
      </c>
      <c r="F17" s="29" t="inlineStr">
        <is>
          <t>70%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TABLET APPLE A2696 64GB NS:SWM0J0WY711</t>
        </is>
      </c>
      <c r="D18" s="35" t="n">
        <v>1900</v>
      </c>
      <c r="E18" s="35" t="n">
        <v>1900</v>
      </c>
      <c r="F18" s="33" t="inlineStr">
        <is>
          <t>70%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TABLET APPLE A2696 64GB NS:SRWM6CTJCDV</t>
        </is>
      </c>
      <c r="D19" s="31" t="n">
        <v>1900</v>
      </c>
      <c r="E19" s="31" t="n">
        <v>1900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TABLET APPLE A2696 64GB NS:SFPP6K4YKVX</t>
        </is>
      </c>
      <c r="D20" s="35" t="n">
        <v>1900</v>
      </c>
      <c r="E20" s="35" t="n">
        <v>1900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TABLET APPLE A2696 64GB NS:SJ3704RR6X0</t>
        </is>
      </c>
      <c r="D21" s="31" t="n">
        <v>1900</v>
      </c>
      <c r="E21" s="31" t="n">
        <v>1900</v>
      </c>
      <c r="F21" s="29" t="inlineStr">
        <is>
          <t>70%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TABLET APPLE A2696 64GB NS:SL7QPV4TW5G</t>
        </is>
      </c>
      <c r="D22" s="35" t="n">
        <v>1900</v>
      </c>
      <c r="E22" s="35" t="n">
        <v>1900</v>
      </c>
      <c r="F22" s="33" t="inlineStr">
        <is>
          <t>70%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TABLET APPLE A2696 64GB NS:SCY644QQQGQ</t>
        </is>
      </c>
      <c r="D23" s="31" t="n">
        <v>1900</v>
      </c>
      <c r="E23" s="31" t="n">
        <v>1900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TABLET APPLE A2696 64GB NS:SK72VQD7L77</t>
        </is>
      </c>
      <c r="D24" s="35" t="n">
        <v>1900</v>
      </c>
      <c r="E24" s="35" t="n">
        <v>1900</v>
      </c>
      <c r="F24" s="33" t="inlineStr">
        <is>
          <t>70%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TABLET APPLE A2696 64GB NS:SG4Q4X0K7WR</t>
        </is>
      </c>
      <c r="D25" s="31" t="n">
        <v>1900</v>
      </c>
      <c r="E25" s="31" t="n">
        <v>1900</v>
      </c>
      <c r="F25" s="29" t="inlineStr">
        <is>
          <t>70%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TABLET APPLE A2696 64GB NS:SR7NK6FJD4F</t>
        </is>
      </c>
      <c r="D26" s="35" t="n">
        <v>1900</v>
      </c>
      <c r="E26" s="35" t="n">
        <v>1900</v>
      </c>
      <c r="F26" s="33" t="inlineStr">
        <is>
          <t>70%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TABLET APPLE A2696 64GB NS:SH6QP3CGXYL</t>
        </is>
      </c>
      <c r="D27" s="31" t="n">
        <v>1900</v>
      </c>
      <c r="E27" s="31" t="n">
        <v>1900</v>
      </c>
      <c r="F27" s="29" t="inlineStr">
        <is>
          <t>70%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TABLET APPLE A2696 64GB NS:SKL097DN2P3</t>
        </is>
      </c>
      <c r="D28" s="35" t="n">
        <v>1900</v>
      </c>
      <c r="E28" s="35" t="n">
        <v>1900</v>
      </c>
      <c r="F28" s="33" t="inlineStr">
        <is>
          <t>70%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TABLET APPLE A2696 64GB NS:SCKH9W1W603</t>
        </is>
      </c>
      <c r="D29" s="31" t="n">
        <v>1900</v>
      </c>
      <c r="E29" s="31" t="n">
        <v>1900</v>
      </c>
      <c r="F29" s="29" t="inlineStr">
        <is>
          <t>70%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TABLET APPLE A2696 64GB NS:SKM4KLQR3XY</t>
        </is>
      </c>
      <c r="D30" s="35" t="n">
        <v>1900</v>
      </c>
      <c r="E30" s="35" t="n">
        <v>1900</v>
      </c>
      <c r="F30" s="33" t="inlineStr">
        <is>
          <t>70%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TABLET APPLE A2696 64GB NS:SJYQPFQ1331</t>
        </is>
      </c>
      <c r="D31" s="31" t="n">
        <v>1900</v>
      </c>
      <c r="E31" s="31" t="n">
        <v>1900</v>
      </c>
      <c r="F31" s="29" t="inlineStr">
        <is>
          <t>70%</t>
        </is>
      </c>
      <c r="G31" s="32" t="inlineStr">
        <is>
          <t>ver no ML</t>
        </is>
      </c>
    </row>
    <row r="32">
      <c r="A32" s="33" t="n">
        <v>22</v>
      </c>
      <c r="B32" s="33" t="n">
        <v>1</v>
      </c>
      <c r="C32" s="34" t="inlineStr">
        <is>
          <t>TABLET APPLE A2696 64GB NS:Q719QMD667</t>
        </is>
      </c>
      <c r="D32" s="35" t="n">
        <v>1900</v>
      </c>
      <c r="E32" s="35" t="n">
        <v>1900</v>
      </c>
      <c r="F32" s="33" t="inlineStr">
        <is>
          <t>70%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TABLET APPLE A2696 64GB NS:SMY64L9KGM7</t>
        </is>
      </c>
      <c r="D33" s="31" t="n">
        <v>1900</v>
      </c>
      <c r="E33" s="31" t="n">
        <v>1900</v>
      </c>
      <c r="F33" s="29" t="inlineStr">
        <is>
          <t>70%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TABLET APPLE A2696 64GB NS:SLQM19Y3P60</t>
        </is>
      </c>
      <c r="D34" s="35" t="n">
        <v>1900</v>
      </c>
      <c r="E34" s="35" t="n">
        <v>1900</v>
      </c>
      <c r="F34" s="33" t="inlineStr">
        <is>
          <t>70%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TABLET APPLE A2696 64GB NS:SL23WVXM6F3</t>
        </is>
      </c>
      <c r="D35" s="31" t="n">
        <v>1900</v>
      </c>
      <c r="E35" s="31" t="n">
        <v>1900</v>
      </c>
      <c r="F35" s="29" t="inlineStr">
        <is>
          <t>70%</t>
        </is>
      </c>
      <c r="G35" s="32" t="inlineStr">
        <is>
          <t>ver no ML</t>
        </is>
      </c>
    </row>
    <row r="36">
      <c r="A36" s="33" t="n">
        <v>26</v>
      </c>
      <c r="B36" s="33" t="n">
        <v>1</v>
      </c>
      <c r="C36" s="34" t="inlineStr">
        <is>
          <t>TABLET APPLE A2696 64GB NS:SH3HY65945L</t>
        </is>
      </c>
      <c r="D36" s="35" t="n">
        <v>1900</v>
      </c>
      <c r="E36" s="35" t="n">
        <v>1900</v>
      </c>
      <c r="F36" s="33" t="inlineStr">
        <is>
          <t>70%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TABLET APPLE A2696 64GB NS:SW36FRQGTX4</t>
        </is>
      </c>
      <c r="D37" s="31" t="n">
        <v>1900</v>
      </c>
      <c r="E37" s="31" t="n">
        <v>1900</v>
      </c>
      <c r="F37" s="29" t="inlineStr">
        <is>
          <t>70%</t>
        </is>
      </c>
      <c r="G37" s="32" t="inlineStr">
        <is>
          <t>ver no ML</t>
        </is>
      </c>
    </row>
    <row r="38">
      <c r="A38" s="33" t="n">
        <v>28</v>
      </c>
      <c r="B38" s="33" t="n">
        <v>1</v>
      </c>
      <c r="C38" s="34" t="inlineStr">
        <is>
          <t>TABLET APPLE A2696 64GB NS:SPXMJPJLJWY</t>
        </is>
      </c>
      <c r="D38" s="35" t="n">
        <v>1900</v>
      </c>
      <c r="E38" s="35" t="n">
        <v>1900</v>
      </c>
      <c r="F38" s="33" t="inlineStr">
        <is>
          <t>70%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TABLET APPLE A2696 64GB NS:SG6CG6376F0</t>
        </is>
      </c>
      <c r="D39" s="31" t="n">
        <v>1900</v>
      </c>
      <c r="E39" s="31" t="n">
        <v>1900</v>
      </c>
      <c r="F39" s="29" t="inlineStr">
        <is>
          <t>70%</t>
        </is>
      </c>
      <c r="G39" s="32" t="inlineStr">
        <is>
          <t>ver no ML</t>
        </is>
      </c>
    </row>
    <row r="40">
      <c r="A40" s="33" t="n">
        <v>30</v>
      </c>
      <c r="B40" s="33" t="n">
        <v>1</v>
      </c>
      <c r="C40" s="34" t="inlineStr">
        <is>
          <t>TABLET APPLE A2696 64GB NS:SJ7PC47XJXY</t>
        </is>
      </c>
      <c r="D40" s="35" t="n">
        <v>1900</v>
      </c>
      <c r="E40" s="35" t="n">
        <v>1900</v>
      </c>
      <c r="F40" s="33" t="inlineStr">
        <is>
          <t>70%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TABLET APPLE A2696 64GB NS:SN2RGWPCQWD</t>
        </is>
      </c>
      <c r="D41" s="31" t="n">
        <v>1750</v>
      </c>
      <c r="E41" s="31" t="n">
        <v>1750</v>
      </c>
      <c r="F41" s="29" t="inlineStr">
        <is>
          <t>75%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TABLET APPLE A2696 64GB NS:SHTGF9959PV</t>
        </is>
      </c>
      <c r="D42" s="35" t="n">
        <v>1750</v>
      </c>
      <c r="E42" s="35" t="n">
        <v>1750</v>
      </c>
      <c r="F42" s="33" t="inlineStr">
        <is>
          <t>75%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TABLET APPLE A2696 64GB NS:SKN4Q4G53W7</t>
        </is>
      </c>
      <c r="D43" s="31" t="n">
        <v>1750</v>
      </c>
      <c r="E43" s="31" t="n">
        <v>1750</v>
      </c>
      <c r="F43" s="29" t="inlineStr">
        <is>
          <t>75%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TABLET APPLE A2696 64GB NS:SM700DMGF9H</t>
        </is>
      </c>
      <c r="D44" s="35" t="n">
        <v>1750</v>
      </c>
      <c r="E44" s="35" t="n">
        <v>1750</v>
      </c>
      <c r="F44" s="33" t="inlineStr">
        <is>
          <t>75%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TABLET APPLE A2696 64GB NS:SFJYWGK206P</t>
        </is>
      </c>
      <c r="D45" s="31" t="n">
        <v>1750</v>
      </c>
      <c r="E45" s="31" t="n">
        <v>1750</v>
      </c>
      <c r="F45" s="29" t="inlineStr">
        <is>
          <t>75%</t>
        </is>
      </c>
      <c r="G45" s="32" t="inlineStr">
        <is>
          <t>ver no ML</t>
        </is>
      </c>
    </row>
    <row r="46">
      <c r="A46" s="33" t="n">
        <v>36</v>
      </c>
      <c r="B46" s="33" t="n">
        <v>1</v>
      </c>
      <c r="C46" s="34" t="inlineStr">
        <is>
          <t>TABLET APPLE A2696 64GB NS:SDDX4F6X6GT</t>
        </is>
      </c>
      <c r="D46" s="35" t="n">
        <v>1750</v>
      </c>
      <c r="E46" s="35" t="n">
        <v>1750</v>
      </c>
      <c r="F46" s="33" t="inlineStr">
        <is>
          <t>75%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TABLET APPLE A2696 64GB NS:SGN6PX2DKD0</t>
        </is>
      </c>
      <c r="D47" s="31" t="n">
        <v>1750</v>
      </c>
      <c r="E47" s="31" t="n">
        <v>1750</v>
      </c>
      <c r="F47" s="29" t="inlineStr">
        <is>
          <t>75%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TABLET APPLE A2696 64GB NS:SFNRL2Y20YW</t>
        </is>
      </c>
      <c r="D48" s="35" t="n">
        <v>1750</v>
      </c>
      <c r="E48" s="35" t="n">
        <v>1750</v>
      </c>
      <c r="F48" s="33" t="inlineStr">
        <is>
          <t>75%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TABLET APPLE A2696 64GB NS:SMNXHW1DFY2</t>
        </is>
      </c>
      <c r="D49" s="31" t="n">
        <v>1750</v>
      </c>
      <c r="E49" s="31" t="n">
        <v>1750</v>
      </c>
      <c r="F49" s="29" t="inlineStr">
        <is>
          <t>75%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TABLET APPLE A2696 64GB NS:SHYV9XKW4J1</t>
        </is>
      </c>
      <c r="D50" s="35" t="n">
        <v>1750</v>
      </c>
      <c r="E50" s="35" t="n">
        <v>1750</v>
      </c>
      <c r="F50" s="33" t="inlineStr">
        <is>
          <t>75%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TABLET APPLE A2696 64GB NS:SHJ5T096DCC</t>
        </is>
      </c>
      <c r="D51" s="31" t="n">
        <v>1750</v>
      </c>
      <c r="E51" s="31" t="n">
        <v>1750</v>
      </c>
      <c r="F51" s="29" t="inlineStr">
        <is>
          <t>75%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TABLET APPLE A2696 64GB NS:SH32KQ0TJ6T</t>
        </is>
      </c>
      <c r="D52" s="35" t="n">
        <v>1750</v>
      </c>
      <c r="E52" s="35" t="n">
        <v>1750</v>
      </c>
      <c r="F52" s="33" t="inlineStr">
        <is>
          <t>75%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TABLET APPLE A2696 64GB NS:SFG9Q6T9KW3</t>
        </is>
      </c>
      <c r="D53" s="31" t="n">
        <v>1750</v>
      </c>
      <c r="E53" s="31" t="n">
        <v>1750</v>
      </c>
      <c r="F53" s="29" t="inlineStr">
        <is>
          <t>75%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TABLET APPLE A2696 64GB NS:SHR9QJ6765T</t>
        </is>
      </c>
      <c r="D54" s="35" t="n">
        <v>1750</v>
      </c>
      <c r="E54" s="35" t="n">
        <v>1750</v>
      </c>
      <c r="F54" s="33" t="inlineStr">
        <is>
          <t>75%</t>
        </is>
      </c>
      <c r="G54" s="32" t="inlineStr">
        <is>
          <t>ver no ML</t>
        </is>
      </c>
    </row>
    <row r="55">
      <c r="A55" s="29" t="n">
        <v>45</v>
      </c>
      <c r="B55" s="29" t="n">
        <v>1</v>
      </c>
      <c r="C55" s="30" t="inlineStr">
        <is>
          <t>TABLET APPLE A2696 64GB NS:SXMWFQ0LW52</t>
        </is>
      </c>
      <c r="D55" s="31" t="n">
        <v>1750</v>
      </c>
      <c r="E55" s="31" t="n">
        <v>1750</v>
      </c>
      <c r="F55" s="29" t="inlineStr">
        <is>
          <t>75%</t>
        </is>
      </c>
      <c r="G55" s="32" t="inlineStr">
        <is>
          <t>ver no ML</t>
        </is>
      </c>
    </row>
    <row r="56">
      <c r="A56" s="33" t="n">
        <v>46</v>
      </c>
      <c r="B56" s="33" t="n">
        <v>1</v>
      </c>
      <c r="C56" s="34" t="inlineStr">
        <is>
          <t>TABLET APPLE A2696 64GB NS:SFQYQQC9M7K</t>
        </is>
      </c>
      <c r="D56" s="35" t="n">
        <v>1750</v>
      </c>
      <c r="E56" s="35" t="n">
        <v>1750</v>
      </c>
      <c r="F56" s="33" t="inlineStr">
        <is>
          <t>75%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TABLET APPLE A2696 64GB NS:SJ54N6D7QJ1</t>
        </is>
      </c>
      <c r="D57" s="31" t="n">
        <v>1750</v>
      </c>
      <c r="E57" s="31" t="n">
        <v>1750</v>
      </c>
      <c r="F57" s="29" t="inlineStr">
        <is>
          <t>75%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TABLET APPLE A2696 64GB NS:SKP21R9JV0C</t>
        </is>
      </c>
      <c r="D58" s="35" t="n">
        <v>1750</v>
      </c>
      <c r="E58" s="35" t="n">
        <v>1750</v>
      </c>
      <c r="F58" s="33" t="inlineStr">
        <is>
          <t>75%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TABLET APPLE A2696 64GB NS:SFM4M47TKYH</t>
        </is>
      </c>
      <c r="D59" s="31" t="n">
        <v>1750</v>
      </c>
      <c r="E59" s="31" t="n">
        <v>1750</v>
      </c>
      <c r="F59" s="29" t="inlineStr">
        <is>
          <t>75%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TABLET APPLE A2696 64GB NS:SGXR37QW6PR</t>
        </is>
      </c>
      <c r="D60" s="35" t="n">
        <v>1750</v>
      </c>
      <c r="E60" s="35" t="n">
        <v>1750</v>
      </c>
      <c r="F60" s="33" t="inlineStr">
        <is>
          <t>75%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TABLET APPLE A2696 64GB NS:SKCG4X976JW</t>
        </is>
      </c>
      <c r="D61" s="31" t="n">
        <v>1750</v>
      </c>
      <c r="E61" s="31" t="n">
        <v>1750</v>
      </c>
      <c r="F61" s="29" t="inlineStr">
        <is>
          <t>75%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TABLET APPLE A2696 64GB NS:SHPM9YRQHF2</t>
        </is>
      </c>
      <c r="D62" s="35" t="n">
        <v>1750</v>
      </c>
      <c r="E62" s="35" t="n">
        <v>1750</v>
      </c>
      <c r="F62" s="33" t="inlineStr">
        <is>
          <t>75%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TABLET APPLE A2696 64GB NS:SK0J66G32C1</t>
        </is>
      </c>
      <c r="D63" s="31" t="n">
        <v>1750</v>
      </c>
      <c r="E63" s="31" t="n">
        <v>1750</v>
      </c>
      <c r="F63" s="29" t="inlineStr">
        <is>
          <t>75%</t>
        </is>
      </c>
      <c r="G63" s="32" t="inlineStr">
        <is>
          <t>ver no ML</t>
        </is>
      </c>
    </row>
    <row r="64">
      <c r="A64" s="33" t="n">
        <v>54</v>
      </c>
      <c r="B64" s="33" t="n">
        <v>1</v>
      </c>
      <c r="C64" s="34" t="inlineStr">
        <is>
          <t>TABLET APPLE A2696 64GB NS:SH0C9Q4KJT7</t>
        </is>
      </c>
      <c r="D64" s="35" t="n">
        <v>1750</v>
      </c>
      <c r="E64" s="35" t="n">
        <v>1750</v>
      </c>
      <c r="F64" s="33" t="inlineStr">
        <is>
          <t>75%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TABLET APPLE A2696 64GB NS:SCQFQ2TJ9G2</t>
        </is>
      </c>
      <c r="D65" s="31" t="n">
        <v>1750</v>
      </c>
      <c r="E65" s="31" t="n">
        <v>1750</v>
      </c>
      <c r="F65" s="29" t="inlineStr">
        <is>
          <t>75%</t>
        </is>
      </c>
      <c r="G65" s="32" t="inlineStr">
        <is>
          <t>ver no ML</t>
        </is>
      </c>
    </row>
    <row r="66">
      <c r="A66" s="33" t="n">
        <v>56</v>
      </c>
      <c r="B66" s="33" t="n">
        <v>1</v>
      </c>
      <c r="C66" s="34" t="inlineStr">
        <is>
          <t>TABLET APPLE A2696 64GB NS:SJL607022QW</t>
        </is>
      </c>
      <c r="D66" s="35" t="n">
        <v>1700</v>
      </c>
      <c r="E66" s="35" t="n">
        <v>1700</v>
      </c>
      <c r="F66" s="33" t="inlineStr">
        <is>
          <t>75%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TABLET APPLE A2696 64GB NS:SJQYHJH1FMW</t>
        </is>
      </c>
      <c r="D67" s="31" t="n">
        <v>1700</v>
      </c>
      <c r="E67" s="31" t="n">
        <v>1700</v>
      </c>
      <c r="F67" s="29" t="inlineStr">
        <is>
          <t>75%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TABLET APPLE A2696 64GB NS:SJ7WXJKXFC9</t>
        </is>
      </c>
      <c r="D68" s="35" t="n">
        <v>1700</v>
      </c>
      <c r="E68" s="35" t="n">
        <v>1700</v>
      </c>
      <c r="F68" s="33" t="inlineStr">
        <is>
          <t>75%</t>
        </is>
      </c>
      <c r="G68" s="32" t="inlineStr">
        <is>
          <t>ver no ML</t>
        </is>
      </c>
    </row>
    <row r="69">
      <c r="A69" s="29" t="n">
        <v>59</v>
      </c>
      <c r="B69" s="29" t="n">
        <v>1</v>
      </c>
      <c r="C69" s="30" t="inlineStr">
        <is>
          <t>TABLET APPLE A2696 64GB NS:SM9NY997GJW</t>
        </is>
      </c>
      <c r="D69" s="31" t="n">
        <v>1700</v>
      </c>
      <c r="E69" s="31" t="n">
        <v>1700</v>
      </c>
      <c r="F69" s="29" t="inlineStr">
        <is>
          <t>75%</t>
        </is>
      </c>
      <c r="G69" s="32" t="inlineStr">
        <is>
          <t>ver no ML</t>
        </is>
      </c>
    </row>
    <row r="70">
      <c r="A70" s="33" t="n">
        <v>60</v>
      </c>
      <c r="B70" s="33" t="n">
        <v>1</v>
      </c>
      <c r="C70" s="34" t="inlineStr">
        <is>
          <t>TABLET APPLE A2696 64GB NS:SQLHJ5JQYHJ</t>
        </is>
      </c>
      <c r="D70" s="35" t="n">
        <v>1700</v>
      </c>
      <c r="E70" s="35" t="n">
        <v>1700</v>
      </c>
      <c r="F70" s="33" t="inlineStr">
        <is>
          <t>75%</t>
        </is>
      </c>
      <c r="G70" s="32" t="inlineStr">
        <is>
          <t>ver no ML</t>
        </is>
      </c>
    </row>
    <row r="71">
      <c r="A71" s="29" t="n">
        <v>61</v>
      </c>
      <c r="B71" s="29" t="n">
        <v>1</v>
      </c>
      <c r="C71" s="30" t="inlineStr">
        <is>
          <t>TABLET APPLE A2696 64GB NS:SD6K9FL2F4T</t>
        </is>
      </c>
      <c r="D71" s="31" t="n">
        <v>1700</v>
      </c>
      <c r="E71" s="31" t="n">
        <v>1700</v>
      </c>
      <c r="F71" s="29" t="inlineStr">
        <is>
          <t>75%</t>
        </is>
      </c>
      <c r="G71" s="32" t="inlineStr">
        <is>
          <t>ver no ML</t>
        </is>
      </c>
    </row>
    <row r="72">
      <c r="A72" s="33" t="n">
        <v>62</v>
      </c>
      <c r="B72" s="33" t="n">
        <v>1</v>
      </c>
      <c r="C72" s="34" t="inlineStr">
        <is>
          <t>TABLET APPLE A2696 64GB NS:SHQV66NDWNP</t>
        </is>
      </c>
      <c r="D72" s="35" t="n">
        <v>1700</v>
      </c>
      <c r="E72" s="35" t="n">
        <v>1700</v>
      </c>
      <c r="F72" s="33" t="inlineStr">
        <is>
          <t>75%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TABLET APPLE A2696 64GB NS:SMTCWJK057C</t>
        </is>
      </c>
      <c r="D73" s="31" t="n">
        <v>1700</v>
      </c>
      <c r="E73" s="31" t="n">
        <v>1700</v>
      </c>
      <c r="F73" s="29" t="inlineStr">
        <is>
          <t>75%</t>
        </is>
      </c>
      <c r="G73" s="32" t="inlineStr">
        <is>
          <t>ver no ML</t>
        </is>
      </c>
    </row>
    <row r="74">
      <c r="A74" s="33" t="n">
        <v>64</v>
      </c>
      <c r="B74" s="33" t="n">
        <v>1</v>
      </c>
      <c r="C74" s="34" t="inlineStr">
        <is>
          <t>TABLET APPLE A2696 64GB NS:SQ2H7VX5X94</t>
        </is>
      </c>
      <c r="D74" s="35" t="n">
        <v>1700</v>
      </c>
      <c r="E74" s="35" t="n">
        <v>1700</v>
      </c>
      <c r="F74" s="33" t="inlineStr">
        <is>
          <t>75%</t>
        </is>
      </c>
      <c r="G74" s="32" t="inlineStr">
        <is>
          <t>ver no ML</t>
        </is>
      </c>
    </row>
    <row r="75">
      <c r="A75" s="29" t="n">
        <v>65</v>
      </c>
      <c r="B75" s="29" t="n">
        <v>1</v>
      </c>
      <c r="C75" s="30" t="inlineStr">
        <is>
          <t>TABLET APPLE A2696 64GB NS:SF9C6Q6XY4M</t>
        </is>
      </c>
      <c r="D75" s="31" t="n">
        <v>1700</v>
      </c>
      <c r="E75" s="31" t="n">
        <v>1700</v>
      </c>
      <c r="F75" s="29" t="inlineStr">
        <is>
          <t>75%</t>
        </is>
      </c>
      <c r="G75" s="32" t="inlineStr">
        <is>
          <t>ver no ML</t>
        </is>
      </c>
    </row>
    <row r="76">
      <c r="A76" s="33" t="n">
        <v>66</v>
      </c>
      <c r="B76" s="33" t="n">
        <v>1</v>
      </c>
      <c r="C76" s="34" t="inlineStr">
        <is>
          <t>TABLET APPLE A2696 64GB NS:SJ16760VH70</t>
        </is>
      </c>
      <c r="D76" s="35" t="n">
        <v>1700</v>
      </c>
      <c r="E76" s="35" t="n">
        <v>1700</v>
      </c>
      <c r="F76" s="33" t="inlineStr">
        <is>
          <t>75%</t>
        </is>
      </c>
      <c r="G76" s="32" t="inlineStr">
        <is>
          <t>ver no ML</t>
        </is>
      </c>
    </row>
    <row r="77">
      <c r="A77" s="29" t="n">
        <v>67</v>
      </c>
      <c r="B77" s="29" t="n">
        <v>1</v>
      </c>
      <c r="C77" s="30" t="inlineStr">
        <is>
          <t>TABLET APPLE A2696 64GB NS:SJNDC27R6VQ</t>
        </is>
      </c>
      <c r="D77" s="31" t="n">
        <v>1700</v>
      </c>
      <c r="E77" s="31" t="n">
        <v>1700</v>
      </c>
      <c r="F77" s="29" t="inlineStr">
        <is>
          <t>75%</t>
        </is>
      </c>
      <c r="G77" s="32" t="inlineStr">
        <is>
          <t>ver no ML</t>
        </is>
      </c>
    </row>
    <row r="78">
      <c r="A78" s="33" t="n">
        <v>68</v>
      </c>
      <c r="B78" s="33" t="n">
        <v>1</v>
      </c>
      <c r="C78" s="34" t="inlineStr">
        <is>
          <t>TABLET APPLE A2696 64GB NS:SMXY2W2TWRT</t>
        </is>
      </c>
      <c r="D78" s="35" t="n">
        <v>1700</v>
      </c>
      <c r="E78" s="35" t="n">
        <v>1700</v>
      </c>
      <c r="F78" s="33" t="inlineStr">
        <is>
          <t>75%</t>
        </is>
      </c>
      <c r="G78" s="32" t="inlineStr">
        <is>
          <t>ver no ML</t>
        </is>
      </c>
    </row>
    <row r="79">
      <c r="A79" s="29" t="n">
        <v>69</v>
      </c>
      <c r="B79" s="29" t="n">
        <v>1</v>
      </c>
      <c r="C79" s="30" t="inlineStr">
        <is>
          <t>TABLET APPLE A2696 64GB NS:SD5VF6PM4HW</t>
        </is>
      </c>
      <c r="D79" s="31" t="n">
        <v>1700</v>
      </c>
      <c r="E79" s="31" t="n">
        <v>1700</v>
      </c>
      <c r="F79" s="29" t="inlineStr">
        <is>
          <t>75%</t>
        </is>
      </c>
      <c r="G79" s="32" t="inlineStr">
        <is>
          <t>ver no ML</t>
        </is>
      </c>
    </row>
    <row r="80">
      <c r="A80" s="33" t="n">
        <v>70</v>
      </c>
      <c r="B80" s="33" t="n">
        <v>1</v>
      </c>
      <c r="C80" s="34" t="inlineStr">
        <is>
          <t>TABLET APPLE A2696 64GB NS:SH6KJLF6TVX</t>
        </is>
      </c>
      <c r="D80" s="35" t="n">
        <v>1700</v>
      </c>
      <c r="E80" s="35" t="n">
        <v>1700</v>
      </c>
      <c r="F80" s="33" t="inlineStr">
        <is>
          <t>75%</t>
        </is>
      </c>
      <c r="G80" s="32" t="inlineStr">
        <is>
          <t>ver no ML</t>
        </is>
      </c>
    </row>
    <row r="81">
      <c r="A81" s="29" t="n">
        <v>71</v>
      </c>
      <c r="B81" s="29" t="n">
        <v>1</v>
      </c>
      <c r="C81" s="30" t="inlineStr">
        <is>
          <t>TABLET APPLE A2696 64GB NS:SCWCR92L0DH</t>
        </is>
      </c>
      <c r="D81" s="31" t="n">
        <v>1700</v>
      </c>
      <c r="E81" s="31" t="n">
        <v>1700</v>
      </c>
      <c r="F81" s="29" t="inlineStr">
        <is>
          <t>75%</t>
        </is>
      </c>
      <c r="G81" s="32" t="inlineStr">
        <is>
          <t>ver no ML</t>
        </is>
      </c>
    </row>
    <row r="82">
      <c r="A82" s="33" t="n">
        <v>72</v>
      </c>
      <c r="B82" s="33" t="n">
        <v>1</v>
      </c>
      <c r="C82" s="34" t="inlineStr">
        <is>
          <t>TABLET APPLE A2696 64GB NS:SRVY20WHF4N</t>
        </is>
      </c>
      <c r="D82" s="35" t="n">
        <v>1700</v>
      </c>
      <c r="E82" s="35" t="n">
        <v>1700</v>
      </c>
      <c r="F82" s="33" t="inlineStr">
        <is>
          <t>75%</t>
        </is>
      </c>
      <c r="G82" s="32" t="inlineStr">
        <is>
          <t>ver no ML</t>
        </is>
      </c>
    </row>
    <row r="83">
      <c r="A83" s="29" t="n">
        <v>73</v>
      </c>
      <c r="B83" s="29" t="n">
        <v>1</v>
      </c>
      <c r="C83" s="30" t="inlineStr">
        <is>
          <t>TABLET APPLE A2696 64GB NS:SF0YW7NJL6Q</t>
        </is>
      </c>
      <c r="D83" s="31" t="n">
        <v>1700</v>
      </c>
      <c r="E83" s="31" t="n">
        <v>1700</v>
      </c>
      <c r="F83" s="29" t="inlineStr">
        <is>
          <t>75%</t>
        </is>
      </c>
      <c r="G83" s="32" t="inlineStr">
        <is>
          <t>ver no ML</t>
        </is>
      </c>
    </row>
    <row r="84">
      <c r="A84" s="33" t="n">
        <v>74</v>
      </c>
      <c r="B84" s="33" t="n">
        <v>1</v>
      </c>
      <c r="C84" s="34" t="inlineStr">
        <is>
          <t>TABLET APPLE A2696 64GB NS:SDLJW54PDQG</t>
        </is>
      </c>
      <c r="D84" s="35" t="n">
        <v>1700</v>
      </c>
      <c r="E84" s="35" t="n">
        <v>1700</v>
      </c>
      <c r="F84" s="33" t="inlineStr">
        <is>
          <t>75%</t>
        </is>
      </c>
      <c r="G84" s="32" t="inlineStr">
        <is>
          <t>ver no ML</t>
        </is>
      </c>
    </row>
    <row r="85">
      <c r="A85" s="29" t="n">
        <v>75</v>
      </c>
      <c r="B85" s="29" t="n">
        <v>1</v>
      </c>
      <c r="C85" s="30" t="inlineStr">
        <is>
          <t>TABLET APPLE A2696 64GB NS:SLQ7CCPW6QK</t>
        </is>
      </c>
      <c r="D85" s="31" t="n">
        <v>1700</v>
      </c>
      <c r="E85" s="31" t="n">
        <v>1700</v>
      </c>
      <c r="F85" s="29" t="inlineStr">
        <is>
          <t>75%</t>
        </is>
      </c>
      <c r="G85" s="32" t="inlineStr">
        <is>
          <t>ver no ML</t>
        </is>
      </c>
    </row>
    <row r="86">
      <c r="A86" s="33" t="n">
        <v>76</v>
      </c>
      <c r="B86" s="33" t="n">
        <v>1</v>
      </c>
      <c r="C86" s="34" t="inlineStr">
        <is>
          <t>TABLET APPLE IPAD 10 64GB A2696 NS:SHX7VV92CYP</t>
        </is>
      </c>
      <c r="D86" s="35" t="n">
        <v>1700</v>
      </c>
      <c r="E86" s="35" t="n">
        <v>1700</v>
      </c>
      <c r="F86" s="33" t="inlineStr">
        <is>
          <t>78%</t>
        </is>
      </c>
      <c r="G86" s="32" t="inlineStr">
        <is>
          <t>ver no ML</t>
        </is>
      </c>
    </row>
    <row r="87">
      <c r="A87" s="29" t="n">
        <v>77</v>
      </c>
      <c r="B87" s="29" t="n">
        <v>1</v>
      </c>
      <c r="C87" s="30" t="inlineStr">
        <is>
          <t>TABLET APPLE IPAD 10 64GB A2696 NS:SDTH3C32669</t>
        </is>
      </c>
      <c r="D87" s="31" t="n">
        <v>1700</v>
      </c>
      <c r="E87" s="31" t="n">
        <v>1700</v>
      </c>
      <c r="F87" s="29" t="inlineStr">
        <is>
          <t>78%</t>
        </is>
      </c>
      <c r="G87" s="32" t="inlineStr">
        <is>
          <t>ver no ML</t>
        </is>
      </c>
    </row>
    <row r="88">
      <c r="A88" s="33" t="n">
        <v>78</v>
      </c>
      <c r="B88" s="33" t="n">
        <v>1</v>
      </c>
      <c r="C88" s="34" t="inlineStr">
        <is>
          <t>TABLET APPLE IPAD 10 64GB A2696 NS:SJ5TJ9R9L4P</t>
        </is>
      </c>
      <c r="D88" s="35" t="n">
        <v>1700</v>
      </c>
      <c r="E88" s="35" t="n">
        <v>1700</v>
      </c>
      <c r="F88" s="33" t="inlineStr">
        <is>
          <t>78%</t>
        </is>
      </c>
      <c r="G88" s="32" t="inlineStr">
        <is>
          <t>ver no ML</t>
        </is>
      </c>
    </row>
    <row r="89">
      <c r="A89" s="29" t="n">
        <v>79</v>
      </c>
      <c r="B89" s="29" t="n">
        <v>1</v>
      </c>
      <c r="C89" s="30" t="inlineStr">
        <is>
          <t>TABLET APPLE IPAD 10 64GB A2696 NS:SP42HF392QJ</t>
        </is>
      </c>
      <c r="D89" s="31" t="n">
        <v>1700</v>
      </c>
      <c r="E89" s="31" t="n">
        <v>1700</v>
      </c>
      <c r="F89" s="29" t="inlineStr">
        <is>
          <t>78%</t>
        </is>
      </c>
      <c r="G89" s="32" t="inlineStr">
        <is>
          <t>ver no ML</t>
        </is>
      </c>
    </row>
    <row r="90">
      <c r="A90" s="33" t="n">
        <v>80</v>
      </c>
      <c r="B90" s="33" t="n">
        <v>1</v>
      </c>
      <c r="C90" s="34" t="inlineStr">
        <is>
          <t>TABLET APPLE IPAD 9 64GB A2602 NS:SJ6L6K2QHHC</t>
        </is>
      </c>
      <c r="D90" s="35" t="n">
        <v>1600</v>
      </c>
      <c r="E90" s="35" t="n">
        <v>1600</v>
      </c>
      <c r="F90" s="33" t="inlineStr">
        <is>
          <t>80%</t>
        </is>
      </c>
      <c r="G90" s="32" t="inlineStr">
        <is>
          <t>ver no ML</t>
        </is>
      </c>
    </row>
    <row r="91">
      <c r="A91" s="29" t="n">
        <v>81</v>
      </c>
      <c r="B91" s="29" t="n">
        <v>1</v>
      </c>
      <c r="C91" s="30" t="inlineStr">
        <is>
          <t>TABLET APPLE IPAD 9 64GB A2602 NS:SMKHQWY0XK4</t>
        </is>
      </c>
      <c r="D91" s="31" t="n">
        <v>1600</v>
      </c>
      <c r="E91" s="31" t="n">
        <v>1600</v>
      </c>
      <c r="F91" s="29" t="inlineStr">
        <is>
          <t>80%</t>
        </is>
      </c>
      <c r="G91" s="32" t="inlineStr">
        <is>
          <t>ver no ML</t>
        </is>
      </c>
    </row>
    <row r="92">
      <c r="A92" s="33" t="n">
        <v>82</v>
      </c>
      <c r="B92" s="33" t="n">
        <v>1</v>
      </c>
      <c r="C92" s="34" t="inlineStr">
        <is>
          <t>TABLET APPLE IPAD 9 64GB A2602 NS:SJ9LJW6V77D</t>
        </is>
      </c>
      <c r="D92" s="35" t="n">
        <v>1600</v>
      </c>
      <c r="E92" s="35" t="n">
        <v>1600</v>
      </c>
      <c r="F92" s="33" t="inlineStr">
        <is>
          <t>80%</t>
        </is>
      </c>
      <c r="G92" s="32" t="inlineStr">
        <is>
          <t>ver no ML</t>
        </is>
      </c>
    </row>
    <row r="93">
      <c r="A93" s="29" t="n">
        <v>83</v>
      </c>
      <c r="B93" s="29" t="n">
        <v>1</v>
      </c>
      <c r="C93" s="30" t="inlineStr">
        <is>
          <t>TABLET APPLE IPAD 9 64GB A2602 NS:SL4XX0M71HH</t>
        </is>
      </c>
      <c r="D93" s="31" t="n">
        <v>1600</v>
      </c>
      <c r="E93" s="31" t="n">
        <v>1600</v>
      </c>
      <c r="F93" s="29" t="inlineStr">
        <is>
          <t>80%</t>
        </is>
      </c>
      <c r="G93" s="32" t="inlineStr">
        <is>
          <t>ver no ML</t>
        </is>
      </c>
    </row>
    <row r="94">
      <c r="A94" s="33" t="n">
        <v>84</v>
      </c>
      <c r="B94" s="33" t="n">
        <v>1</v>
      </c>
      <c r="C94" s="34" t="inlineStr">
        <is>
          <t>TABLET APPLE IPAD 9 64GB A2602 NS:SCQY3JNWYJV</t>
        </is>
      </c>
      <c r="D94" s="35" t="n">
        <v>1600</v>
      </c>
      <c r="E94" s="35" t="n">
        <v>1600</v>
      </c>
      <c r="F94" s="33" t="inlineStr">
        <is>
          <t>80%</t>
        </is>
      </c>
      <c r="G94" s="32" t="inlineStr">
        <is>
          <t>ver no ML</t>
        </is>
      </c>
    </row>
    <row r="95">
      <c r="A95" s="29" t="n">
        <v>85</v>
      </c>
      <c r="B95" s="29" t="n">
        <v>1</v>
      </c>
      <c r="C95" s="30" t="inlineStr">
        <is>
          <t>TABLET APPLE IPAD 9 64GB A2602 NS:SJC6CQ6WJ27</t>
        </is>
      </c>
      <c r="D95" s="31" t="n">
        <v>1600</v>
      </c>
      <c r="E95" s="31" t="n">
        <v>1600</v>
      </c>
      <c r="F95" s="29" t="inlineStr">
        <is>
          <t>80%</t>
        </is>
      </c>
      <c r="G95" s="32" t="inlineStr">
        <is>
          <t>ver no ML</t>
        </is>
      </c>
    </row>
    <row r="96">
      <c r="A96" s="33" t="n">
        <v>86</v>
      </c>
      <c r="B96" s="33" t="n">
        <v>1</v>
      </c>
      <c r="C96" s="34" t="inlineStr">
        <is>
          <t>TABLET APPLE IPAD 9 64GB A2602 NS:SH0W9CYW70P</t>
        </is>
      </c>
      <c r="D96" s="35" t="n">
        <v>1600</v>
      </c>
      <c r="E96" s="35" t="n">
        <v>1600</v>
      </c>
      <c r="F96" s="33" t="inlineStr">
        <is>
          <t>80%</t>
        </is>
      </c>
      <c r="G96" s="32" t="inlineStr">
        <is>
          <t>ver no ML</t>
        </is>
      </c>
    </row>
    <row r="97">
      <c r="A97" s="29" t="n">
        <v>87</v>
      </c>
      <c r="B97" s="29" t="n">
        <v>1</v>
      </c>
      <c r="C97" s="30" t="inlineStr">
        <is>
          <t>TABLET APPLE IPAD 9 64GB A2602 NS:SH90X31G76P</t>
        </is>
      </c>
      <c r="D97" s="31" t="n">
        <v>1600</v>
      </c>
      <c r="E97" s="31" t="n">
        <v>1600</v>
      </c>
      <c r="F97" s="29" t="inlineStr">
        <is>
          <t>80%</t>
        </is>
      </c>
      <c r="G97" s="32" t="inlineStr">
        <is>
          <t>ver no ML</t>
        </is>
      </c>
    </row>
    <row r="98">
      <c r="A98" s="33" t="n">
        <v>88</v>
      </c>
      <c r="B98" s="33" t="n">
        <v>1</v>
      </c>
      <c r="C98" s="34" t="inlineStr">
        <is>
          <t>TABLET APPLE IPAD 9 64GB A2602 NS:SL9YG0FHMQW</t>
        </is>
      </c>
      <c r="D98" s="35" t="n">
        <v>1600</v>
      </c>
      <c r="E98" s="35" t="n">
        <v>1600</v>
      </c>
      <c r="F98" s="33" t="inlineStr">
        <is>
          <t>80%</t>
        </is>
      </c>
      <c r="G98" s="32" t="inlineStr">
        <is>
          <t>ver no ML</t>
        </is>
      </c>
    </row>
    <row r="99">
      <c r="A99" s="29" t="n">
        <v>89</v>
      </c>
      <c r="B99" s="29" t="n">
        <v>1</v>
      </c>
      <c r="C99" s="30" t="inlineStr">
        <is>
          <t>TABLET APPLE IPAD 9 64GB A2602 NS:SL193QL6XW3</t>
        </is>
      </c>
      <c r="D99" s="31" t="n">
        <v>1600</v>
      </c>
      <c r="E99" s="31" t="n">
        <v>1600</v>
      </c>
      <c r="F99" s="29" t="inlineStr">
        <is>
          <t>80%</t>
        </is>
      </c>
      <c r="G99" s="32" t="inlineStr">
        <is>
          <t>ver no ML</t>
        </is>
      </c>
    </row>
    <row r="100">
      <c r="A100" s="33" t="n">
        <v>90</v>
      </c>
      <c r="B100" s="33" t="n">
        <v>1</v>
      </c>
      <c r="C100" s="34" t="inlineStr">
        <is>
          <t>TABLET APPLE IPAD 9 64GB A2602 NS:SK7P74D4VDH</t>
        </is>
      </c>
      <c r="D100" s="35" t="n">
        <v>1600</v>
      </c>
      <c r="E100" s="35" t="n">
        <v>1600</v>
      </c>
      <c r="F100" s="33" t="inlineStr">
        <is>
          <t>80%</t>
        </is>
      </c>
      <c r="G100" s="32" t="inlineStr">
        <is>
          <t>ver no ML</t>
        </is>
      </c>
    </row>
    <row r="101">
      <c r="A101" s="29" t="n">
        <v>91</v>
      </c>
      <c r="B101" s="29" t="n">
        <v>1</v>
      </c>
      <c r="C101" s="30" t="inlineStr">
        <is>
          <t>TABLET APPLE IPAD 9 64GB A2602 NS:SM1QX064M6Y</t>
        </is>
      </c>
      <c r="D101" s="31" t="n">
        <v>1600</v>
      </c>
      <c r="E101" s="31" t="n">
        <v>1600</v>
      </c>
      <c r="F101" s="29" t="inlineStr">
        <is>
          <t>80%</t>
        </is>
      </c>
      <c r="G101" s="32" t="inlineStr">
        <is>
          <t>ver no ML</t>
        </is>
      </c>
    </row>
    <row r="102">
      <c r="A102" s="33" t="n">
        <v>92</v>
      </c>
      <c r="B102" s="33" t="n">
        <v>1</v>
      </c>
      <c r="C102" s="34" t="inlineStr">
        <is>
          <t>TABLET APPLE IPAD 9 64GB A2602 NS:SLK9NVWGNPK</t>
        </is>
      </c>
      <c r="D102" s="35" t="n">
        <v>1600</v>
      </c>
      <c r="E102" s="35" t="n">
        <v>1600</v>
      </c>
      <c r="F102" s="33" t="inlineStr">
        <is>
          <t>80%</t>
        </is>
      </c>
      <c r="G102" s="32" t="inlineStr">
        <is>
          <t>ver no ML</t>
        </is>
      </c>
    </row>
    <row r="103">
      <c r="A103" s="29" t="n">
        <v>93</v>
      </c>
      <c r="B103" s="29" t="n">
        <v>1</v>
      </c>
      <c r="C103" s="30" t="inlineStr">
        <is>
          <t>TABLET APPLE IPAD 9 64GB A2602 NS:SC202LY4YH7</t>
        </is>
      </c>
      <c r="D103" s="31" t="n">
        <v>1600</v>
      </c>
      <c r="E103" s="31" t="n">
        <v>1600</v>
      </c>
      <c r="F103" s="29" t="inlineStr">
        <is>
          <t>80%</t>
        </is>
      </c>
      <c r="G103" s="32" t="inlineStr">
        <is>
          <t>ver no ML</t>
        </is>
      </c>
    </row>
    <row r="104">
      <c r="A104" s="33" t="n">
        <v>94</v>
      </c>
      <c r="B104" s="33" t="n">
        <v>1</v>
      </c>
      <c r="C104" s="34" t="inlineStr">
        <is>
          <t>TABLET APPLE IPAD 9 64GB A2602 NS:SC0F60C7XR5</t>
        </is>
      </c>
      <c r="D104" s="35" t="n">
        <v>1600</v>
      </c>
      <c r="E104" s="35" t="n">
        <v>1600</v>
      </c>
      <c r="F104" s="33" t="inlineStr">
        <is>
          <t>80%</t>
        </is>
      </c>
      <c r="G104" s="32" t="inlineStr">
        <is>
          <t>ver no ML</t>
        </is>
      </c>
    </row>
    <row r="105">
      <c r="A105" s="29" t="n">
        <v>95</v>
      </c>
      <c r="B105" s="29" t="n">
        <v>1</v>
      </c>
      <c r="C105" s="30" t="inlineStr">
        <is>
          <t>TABLET APPLE IPAD 9 64GB A2602 NS:SCX30Q6J253</t>
        </is>
      </c>
      <c r="D105" s="31" t="n">
        <v>1600</v>
      </c>
      <c r="E105" s="31" t="n">
        <v>1600</v>
      </c>
      <c r="F105" s="29" t="inlineStr">
        <is>
          <t>80%</t>
        </is>
      </c>
      <c r="G105" s="32" t="inlineStr">
        <is>
          <t>ver no ML</t>
        </is>
      </c>
    </row>
    <row r="106">
      <c r="A106" s="33" t="n">
        <v>96</v>
      </c>
      <c r="B106" s="33" t="n">
        <v>1</v>
      </c>
      <c r="C106" s="34" t="inlineStr">
        <is>
          <t>TABLET APPLE IPAD 9 64GB A2602 NS:SJXMF7J9770</t>
        </is>
      </c>
      <c r="D106" s="35" t="n">
        <v>1600</v>
      </c>
      <c r="E106" s="35" t="n">
        <v>1600</v>
      </c>
      <c r="F106" s="33" t="inlineStr">
        <is>
          <t>80%</t>
        </is>
      </c>
      <c r="G106" s="32" t="inlineStr">
        <is>
          <t>ver no ML</t>
        </is>
      </c>
    </row>
    <row r="107">
      <c r="A107" s="29" t="n">
        <v>97</v>
      </c>
      <c r="B107" s="29" t="n">
        <v>1</v>
      </c>
      <c r="C107" s="30" t="inlineStr">
        <is>
          <t>TABLET APPLE IPAD 9 64GB A2602 NS:SJ3149DH2Q2</t>
        </is>
      </c>
      <c r="D107" s="31" t="n">
        <v>1600</v>
      </c>
      <c r="E107" s="31" t="n">
        <v>1600</v>
      </c>
      <c r="F107" s="29" t="inlineStr">
        <is>
          <t>80%</t>
        </is>
      </c>
      <c r="G107" s="32" t="inlineStr">
        <is>
          <t>ver no ML</t>
        </is>
      </c>
    </row>
    <row r="108">
      <c r="A108" s="33" t="n">
        <v>98</v>
      </c>
      <c r="B108" s="33" t="n">
        <v>1</v>
      </c>
      <c r="C108" s="34" t="inlineStr">
        <is>
          <t>TABLET APPLE IPAD 9 64GB A2602 NS:SFF4VWQ7Y91</t>
        </is>
      </c>
      <c r="D108" s="35" t="n">
        <v>1600</v>
      </c>
      <c r="E108" s="35" t="n">
        <v>1600</v>
      </c>
      <c r="F108" s="33" t="inlineStr">
        <is>
          <t>80%</t>
        </is>
      </c>
      <c r="G108" s="32" t="inlineStr">
        <is>
          <t>ver no ML</t>
        </is>
      </c>
    </row>
    <row r="109">
      <c r="A109" s="29" t="n">
        <v>99</v>
      </c>
      <c r="B109" s="29" t="n">
        <v>1</v>
      </c>
      <c r="C109" s="30" t="inlineStr">
        <is>
          <t>TABLET APPLE IPAD 9 64GB A2602 NS:SJR790TYT6F</t>
        </is>
      </c>
      <c r="D109" s="31" t="n">
        <v>1600</v>
      </c>
      <c r="E109" s="31" t="n">
        <v>1600</v>
      </c>
      <c r="F109" s="29" t="inlineStr">
        <is>
          <t>80%</t>
        </is>
      </c>
      <c r="G109" s="32" t="inlineStr">
        <is>
          <t>ver no ML</t>
        </is>
      </c>
    </row>
    <row r="110">
      <c r="A110" s="33" t="n">
        <v>100</v>
      </c>
      <c r="B110" s="33" t="n">
        <v>1</v>
      </c>
      <c r="C110" s="34" t="inlineStr">
        <is>
          <t>TABLET APPLE IPAD 9 64GB A2602 NS:SK6PP25V4C5</t>
        </is>
      </c>
      <c r="D110" s="35" t="n">
        <v>1600</v>
      </c>
      <c r="E110" s="35" t="n">
        <v>1600</v>
      </c>
      <c r="F110" s="33" t="inlineStr">
        <is>
          <t>80%</t>
        </is>
      </c>
      <c r="G110" s="32" t="inlineStr">
        <is>
          <t>ver no ML</t>
        </is>
      </c>
    </row>
    <row r="111">
      <c r="A111" s="29" t="n">
        <v>101</v>
      </c>
      <c r="B111" s="29" t="n">
        <v>1</v>
      </c>
      <c r="C111" s="30" t="inlineStr">
        <is>
          <t>TABLET APPLE IPAD 9 64GB A2602 NS:SHT2FPK4G43</t>
        </is>
      </c>
      <c r="D111" s="31" t="n">
        <v>1600</v>
      </c>
      <c r="E111" s="31" t="n">
        <v>1600</v>
      </c>
      <c r="F111" s="29" t="inlineStr">
        <is>
          <t>80%</t>
        </is>
      </c>
      <c r="G111" s="32" t="inlineStr">
        <is>
          <t>ver no ML</t>
        </is>
      </c>
    </row>
    <row r="112">
      <c r="A112" s="33" t="n">
        <v>102</v>
      </c>
      <c r="B112" s="33" t="n">
        <v>1</v>
      </c>
      <c r="C112" s="34" t="inlineStr">
        <is>
          <t>TABLET APPLE IPAD 9 64GB A2602 NS:SLY5F673L6R</t>
        </is>
      </c>
      <c r="D112" s="35" t="n">
        <v>1600</v>
      </c>
      <c r="E112" s="35" t="n">
        <v>1600</v>
      </c>
      <c r="F112" s="33" t="inlineStr">
        <is>
          <t>80%</t>
        </is>
      </c>
      <c r="G112" s="32" t="inlineStr">
        <is>
          <t>ver no ML</t>
        </is>
      </c>
    </row>
    <row r="113">
      <c r="A113" s="29" t="n">
        <v>103</v>
      </c>
      <c r="B113" s="29" t="n">
        <v>1</v>
      </c>
      <c r="C113" s="30" t="inlineStr">
        <is>
          <t>TABLET APPLE IPAD 9 64GB A2602 NS:SCKJVQJL6D5</t>
        </is>
      </c>
      <c r="D113" s="31" t="n">
        <v>1600</v>
      </c>
      <c r="E113" s="31" t="n">
        <v>1600</v>
      </c>
      <c r="F113" s="29" t="inlineStr">
        <is>
          <t>80%</t>
        </is>
      </c>
      <c r="G113" s="32" t="inlineStr">
        <is>
          <t>ver no ML</t>
        </is>
      </c>
    </row>
    <row r="114">
      <c r="A114" s="33" t="n">
        <v>104</v>
      </c>
      <c r="B114" s="33" t="n">
        <v>1</v>
      </c>
      <c r="C114" s="34" t="inlineStr">
        <is>
          <t>TABLET APPLE IPAD 9 64GB A2602 NS:SLV34LFWF7V</t>
        </is>
      </c>
      <c r="D114" s="35" t="n">
        <v>1600</v>
      </c>
      <c r="E114" s="35" t="n">
        <v>1600</v>
      </c>
      <c r="F114" s="33" t="inlineStr">
        <is>
          <t>80%</t>
        </is>
      </c>
      <c r="G114" s="32" t="inlineStr">
        <is>
          <t>ver no ML</t>
        </is>
      </c>
    </row>
    <row r="115">
      <c r="A115" s="29" t="n">
        <v>105</v>
      </c>
      <c r="B115" s="29" t="n">
        <v>1</v>
      </c>
      <c r="C115" s="30" t="inlineStr">
        <is>
          <t>TABLET APPLE IPAD 9 64GB A2602 NS:SD6PYG3X024</t>
        </is>
      </c>
      <c r="D115" s="31" t="n">
        <v>1600</v>
      </c>
      <c r="E115" s="31" t="n">
        <v>1600</v>
      </c>
      <c r="F115" s="29" t="inlineStr">
        <is>
          <t>80%</t>
        </is>
      </c>
      <c r="G115" s="32" t="inlineStr">
        <is>
          <t>ver no ML</t>
        </is>
      </c>
    </row>
    <row r="116">
      <c r="A116" s="33" t="n">
        <v>106</v>
      </c>
      <c r="B116" s="33" t="n">
        <v>1</v>
      </c>
      <c r="C116" s="34" t="inlineStr">
        <is>
          <t>TABLET APPLE IPAD 9 64GB A2602 NS:SD4RLL6W7TG</t>
        </is>
      </c>
      <c r="D116" s="35" t="n">
        <v>1600</v>
      </c>
      <c r="E116" s="35" t="n">
        <v>1600</v>
      </c>
      <c r="F116" s="33" t="inlineStr">
        <is>
          <t>80%</t>
        </is>
      </c>
      <c r="G116" s="32" t="inlineStr">
        <is>
          <t>ver no ML</t>
        </is>
      </c>
    </row>
    <row r="117">
      <c r="A117" s="29" t="n">
        <v>107</v>
      </c>
      <c r="B117" s="29" t="n">
        <v>1</v>
      </c>
      <c r="C117" s="30" t="inlineStr">
        <is>
          <t>TABLET APPLE IPAD 9 64GB A2602 NS:SG9M57DKHM3</t>
        </is>
      </c>
      <c r="D117" s="31" t="n">
        <v>1600</v>
      </c>
      <c r="E117" s="31" t="n">
        <v>1600</v>
      </c>
      <c r="F117" s="29" t="inlineStr">
        <is>
          <t>80%</t>
        </is>
      </c>
      <c r="G117" s="32" t="inlineStr">
        <is>
          <t>ver no ML</t>
        </is>
      </c>
    </row>
    <row r="118">
      <c r="A118" s="33" t="n">
        <v>108</v>
      </c>
      <c r="B118" s="33" t="n">
        <v>1</v>
      </c>
      <c r="C118" s="34" t="inlineStr">
        <is>
          <t>TABLET APPLE IPAD 9 64GB A2602 NS:SG93P4NL7C5</t>
        </is>
      </c>
      <c r="D118" s="35" t="n">
        <v>1400</v>
      </c>
      <c r="E118" s="35" t="n">
        <v>1400</v>
      </c>
      <c r="F118" s="33" t="inlineStr">
        <is>
          <t>70%</t>
        </is>
      </c>
      <c r="G118" s="32" t="inlineStr">
        <is>
          <t>ver no ML</t>
        </is>
      </c>
    </row>
    <row r="119">
      <c r="A119" s="29" t="n">
        <v>109</v>
      </c>
      <c r="B119" s="29" t="n">
        <v>1</v>
      </c>
      <c r="C119" s="30" t="inlineStr">
        <is>
          <t>TABLET APPLE IPAD 9 64GB A2602 NS:SMW2YJ0JCQD</t>
        </is>
      </c>
      <c r="D119" s="31" t="n">
        <v>1400</v>
      </c>
      <c r="E119" s="31" t="n">
        <v>1400</v>
      </c>
      <c r="F119" s="29" t="inlineStr">
        <is>
          <t>70%</t>
        </is>
      </c>
      <c r="G119" s="32" t="inlineStr">
        <is>
          <t>ver no ML</t>
        </is>
      </c>
    </row>
    <row r="120">
      <c r="A120" s="33" t="n">
        <v>110</v>
      </c>
      <c r="B120" s="33" t="n">
        <v>1</v>
      </c>
      <c r="C120" s="34" t="inlineStr">
        <is>
          <t>TABLET APPLE IPAD 9 64GB A2602 NS:SKC7W0YYQXY</t>
        </is>
      </c>
      <c r="D120" s="35" t="n">
        <v>1400</v>
      </c>
      <c r="E120" s="35" t="n">
        <v>1400</v>
      </c>
      <c r="F120" s="33" t="inlineStr">
        <is>
          <t>70%</t>
        </is>
      </c>
      <c r="G120" s="32" t="inlineStr">
        <is>
          <t>ver no ML</t>
        </is>
      </c>
    </row>
    <row r="121">
      <c r="A121" s="29" t="n">
        <v>111</v>
      </c>
      <c r="B121" s="29" t="n">
        <v>1</v>
      </c>
      <c r="C121" s="30" t="inlineStr">
        <is>
          <t>TABLET APPLE IPAD 9 64GB A2602 NS:SLDF2F0WQ1T</t>
        </is>
      </c>
      <c r="D121" s="31" t="n">
        <v>1400</v>
      </c>
      <c r="E121" s="31" t="n">
        <v>1400</v>
      </c>
      <c r="F121" s="29" t="inlineStr">
        <is>
          <t>70%</t>
        </is>
      </c>
      <c r="G121" s="32" t="inlineStr">
        <is>
          <t>ver no ML</t>
        </is>
      </c>
    </row>
    <row r="122">
      <c r="A122" s="33" t="n">
        <v>112</v>
      </c>
      <c r="B122" s="33" t="n">
        <v>1</v>
      </c>
      <c r="C122" s="34" t="inlineStr">
        <is>
          <t>TABLET APPLE IPAD 9 64GB A2602 NS:SKQ01FYR572</t>
        </is>
      </c>
      <c r="D122" s="35" t="n">
        <v>1400</v>
      </c>
      <c r="E122" s="35" t="n">
        <v>1400</v>
      </c>
      <c r="F122" s="33" t="inlineStr">
        <is>
          <t>70%</t>
        </is>
      </c>
      <c r="G122" s="32" t="inlineStr">
        <is>
          <t>ver no ML</t>
        </is>
      </c>
    </row>
    <row r="123">
      <c r="A123" s="29" t="n">
        <v>113</v>
      </c>
      <c r="B123" s="29" t="n">
        <v>1</v>
      </c>
      <c r="C123" s="30" t="inlineStr">
        <is>
          <t>TABLET APPLE IPAD 9 64GB A2602 NS:SF2726Y7RW0</t>
        </is>
      </c>
      <c r="D123" s="31" t="n">
        <v>1400</v>
      </c>
      <c r="E123" s="31" t="n">
        <v>1400</v>
      </c>
      <c r="F123" s="29" t="inlineStr">
        <is>
          <t>70%</t>
        </is>
      </c>
      <c r="G123" s="32" t="inlineStr">
        <is>
          <t>ver no ML</t>
        </is>
      </c>
    </row>
    <row r="124">
      <c r="A124" s="33" t="n">
        <v>114</v>
      </c>
      <c r="B124" s="33" t="n">
        <v>1</v>
      </c>
      <c r="C124" s="34" t="inlineStr">
        <is>
          <t>TABLET APPLE IPAD 9 64GB A2602 NS:SM9MXYQQH9R</t>
        </is>
      </c>
      <c r="D124" s="35" t="n">
        <v>1400</v>
      </c>
      <c r="E124" s="35" t="n">
        <v>1400</v>
      </c>
      <c r="F124" s="33" t="inlineStr">
        <is>
          <t>70%</t>
        </is>
      </c>
      <c r="G124" s="32" t="inlineStr">
        <is>
          <t>ver no ML</t>
        </is>
      </c>
    </row>
    <row r="125">
      <c r="A125" s="29" t="n">
        <v>115</v>
      </c>
      <c r="B125" s="29" t="n">
        <v>1</v>
      </c>
      <c r="C125" s="30" t="inlineStr">
        <is>
          <t>TABLET APPLE IPAD 9 64GB A2602 NS:SHGG6T6TLDQ</t>
        </is>
      </c>
      <c r="D125" s="31" t="n">
        <v>1400</v>
      </c>
      <c r="E125" s="31" t="n">
        <v>1400</v>
      </c>
      <c r="F125" s="29" t="inlineStr">
        <is>
          <t>70%</t>
        </is>
      </c>
      <c r="G125" s="32" t="inlineStr">
        <is>
          <t>ver no ML</t>
        </is>
      </c>
    </row>
    <row r="126">
      <c r="A126" s="33" t="n">
        <v>116</v>
      </c>
      <c r="B126" s="33" t="n">
        <v>1</v>
      </c>
      <c r="C126" s="34" t="inlineStr">
        <is>
          <t>TABLET APPLE IPAD 9 64GB A2602 NS:SG6L5F797J9</t>
        </is>
      </c>
      <c r="D126" s="35" t="n">
        <v>1400</v>
      </c>
      <c r="E126" s="35" t="n">
        <v>1400</v>
      </c>
      <c r="F126" s="33" t="inlineStr">
        <is>
          <t>70%</t>
        </is>
      </c>
      <c r="G126" s="32" t="inlineStr">
        <is>
          <t>ver no ML</t>
        </is>
      </c>
    </row>
    <row r="127">
      <c r="A127" s="29" t="n">
        <v>117</v>
      </c>
      <c r="B127" s="29" t="n">
        <v>1</v>
      </c>
      <c r="C127" s="30" t="inlineStr">
        <is>
          <t>TABLET APPLE IPAD 9 64GB A2602 NS:SCWM74YXVL4</t>
        </is>
      </c>
      <c r="D127" s="31" t="n">
        <v>1400</v>
      </c>
      <c r="E127" s="31" t="n">
        <v>1400</v>
      </c>
      <c r="F127" s="29" t="inlineStr">
        <is>
          <t>70%</t>
        </is>
      </c>
      <c r="G127" s="32" t="inlineStr">
        <is>
          <t>ver no ML</t>
        </is>
      </c>
    </row>
    <row r="128">
      <c r="A128" s="33" t="n">
        <v>118</v>
      </c>
      <c r="B128" s="33" t="n">
        <v>1</v>
      </c>
      <c r="C128" s="34" t="inlineStr">
        <is>
          <t>TABLET APPLE IPAD 9 64GB A2602 NS:SCWNCW67YC4</t>
        </is>
      </c>
      <c r="D128" s="35" t="n">
        <v>1400</v>
      </c>
      <c r="E128" s="35" t="n">
        <v>1400</v>
      </c>
      <c r="F128" s="33" t="inlineStr">
        <is>
          <t>70%</t>
        </is>
      </c>
      <c r="G128" s="32" t="inlineStr">
        <is>
          <t>ver no ML</t>
        </is>
      </c>
    </row>
    <row r="129">
      <c r="A129" s="29" t="n">
        <v>119</v>
      </c>
      <c r="B129" s="29" t="n">
        <v>1</v>
      </c>
      <c r="C129" s="30" t="inlineStr">
        <is>
          <t>TABLET APPLE IPAD 9 64GB A2602 NS:SMXTDKJ3F33</t>
        </is>
      </c>
      <c r="D129" s="31" t="n">
        <v>1400</v>
      </c>
      <c r="E129" s="31" t="n">
        <v>1400</v>
      </c>
      <c r="F129" s="29" t="inlineStr">
        <is>
          <t>70%</t>
        </is>
      </c>
      <c r="G129" s="32" t="inlineStr">
        <is>
          <t>ver no ML</t>
        </is>
      </c>
    </row>
    <row r="130">
      <c r="A130" s="33" t="n">
        <v>120</v>
      </c>
      <c r="B130" s="33" t="n">
        <v>1</v>
      </c>
      <c r="C130" s="34" t="inlineStr">
        <is>
          <t>TABLET APPLE IPAD 9 64GB A2602 NS:SC6H62HH2DR</t>
        </is>
      </c>
      <c r="D130" s="35" t="n">
        <v>1400</v>
      </c>
      <c r="E130" s="35" t="n">
        <v>1400</v>
      </c>
      <c r="F130" s="33" t="inlineStr">
        <is>
          <t>70%</t>
        </is>
      </c>
      <c r="G130" s="32" t="inlineStr">
        <is>
          <t>ver no ML</t>
        </is>
      </c>
    </row>
    <row r="131">
      <c r="A131" s="29" t="n">
        <v>121</v>
      </c>
      <c r="B131" s="29" t="n">
        <v>1</v>
      </c>
      <c r="C131" s="30" t="inlineStr">
        <is>
          <t>TABLET APPLE IPAD 9 64GB A2602 NS:SC6J466YP37</t>
        </is>
      </c>
      <c r="D131" s="31" t="n">
        <v>1400</v>
      </c>
      <c r="E131" s="31" t="n">
        <v>1400</v>
      </c>
      <c r="F131" s="29" t="inlineStr">
        <is>
          <t>70%</t>
        </is>
      </c>
      <c r="G131" s="32" t="inlineStr">
        <is>
          <t>ver no ML</t>
        </is>
      </c>
    </row>
    <row r="132">
      <c r="A132" s="33" t="n">
        <v>122</v>
      </c>
      <c r="B132" s="33" t="n">
        <v>1</v>
      </c>
      <c r="C132" s="34" t="inlineStr">
        <is>
          <t>TABLET APPLE IPAD 9 64GB A2602 NS:SJ9MLW264FW</t>
        </is>
      </c>
      <c r="D132" s="35" t="n">
        <v>1400</v>
      </c>
      <c r="E132" s="35" t="n">
        <v>1400</v>
      </c>
      <c r="F132" s="33" t="inlineStr">
        <is>
          <t>70%</t>
        </is>
      </c>
      <c r="G132" s="32" t="inlineStr">
        <is>
          <t>ver no ML</t>
        </is>
      </c>
    </row>
    <row r="133">
      <c r="A133" s="29" t="n">
        <v>123</v>
      </c>
      <c r="B133" s="29" t="n">
        <v>1</v>
      </c>
      <c r="C133" s="30" t="inlineStr">
        <is>
          <t>TABLET APPLE IPAD 9 64GB A2602 NS:SMT99LHYH5X</t>
        </is>
      </c>
      <c r="D133" s="31" t="n">
        <v>1400</v>
      </c>
      <c r="E133" s="31" t="n">
        <v>1400</v>
      </c>
      <c r="F133" s="29" t="inlineStr">
        <is>
          <t>70%</t>
        </is>
      </c>
      <c r="G133" s="32" t="inlineStr">
        <is>
          <t>ver no ML</t>
        </is>
      </c>
    </row>
    <row r="134">
      <c r="A134" s="33" t="n">
        <v>124</v>
      </c>
      <c r="B134" s="33" t="n">
        <v>1</v>
      </c>
      <c r="C134" s="34" t="inlineStr">
        <is>
          <t>TABLET APPLE IPAD 9 64GB A2602 NS:SLQ20X6MCPX</t>
        </is>
      </c>
      <c r="D134" s="35" t="n">
        <v>1400</v>
      </c>
      <c r="E134" s="35" t="n">
        <v>1400</v>
      </c>
      <c r="F134" s="33" t="inlineStr">
        <is>
          <t>70%</t>
        </is>
      </c>
      <c r="G134" s="32" t="inlineStr">
        <is>
          <t>ver no ML</t>
        </is>
      </c>
    </row>
    <row r="135">
      <c r="A135" s="29" t="n">
        <v>125</v>
      </c>
      <c r="B135" s="29" t="n">
        <v>1</v>
      </c>
      <c r="C135" s="30" t="inlineStr">
        <is>
          <t>TABLET APPLE IPAD 9 64GB A2602 NS:SJ1XGVWJHJ4</t>
        </is>
      </c>
      <c r="D135" s="31" t="n">
        <v>1400</v>
      </c>
      <c r="E135" s="31" t="n">
        <v>1400</v>
      </c>
      <c r="F135" s="29" t="inlineStr">
        <is>
          <t>70%</t>
        </is>
      </c>
      <c r="G135" s="32" t="inlineStr">
        <is>
          <t>ver no ML</t>
        </is>
      </c>
    </row>
    <row r="136">
      <c r="A136" s="33" t="n">
        <v>126</v>
      </c>
      <c r="B136" s="33" t="n">
        <v>1</v>
      </c>
      <c r="C136" s="34" t="inlineStr">
        <is>
          <t>TABLET APPLE IPAD 9 64GB A2602 NS:SF73MXGWQQP</t>
        </is>
      </c>
      <c r="D136" s="35" t="n">
        <v>1400</v>
      </c>
      <c r="E136" s="35" t="n">
        <v>1400</v>
      </c>
      <c r="F136" s="33" t="inlineStr">
        <is>
          <t>70%</t>
        </is>
      </c>
      <c r="G136" s="32" t="inlineStr">
        <is>
          <t>ver no ML</t>
        </is>
      </c>
    </row>
    <row r="137">
      <c r="A137" s="29" t="n">
        <v>127</v>
      </c>
      <c r="B137" s="29" t="n">
        <v>1</v>
      </c>
      <c r="C137" s="30" t="inlineStr">
        <is>
          <t>TABLET APPLE IPAD 9 64GB A2602 NS:SCLXTD60TT6</t>
        </is>
      </c>
      <c r="D137" s="31" t="n">
        <v>1400</v>
      </c>
      <c r="E137" s="31" t="n">
        <v>1400</v>
      </c>
      <c r="F137" s="29" t="inlineStr">
        <is>
          <t>70%</t>
        </is>
      </c>
      <c r="G137" s="32" t="inlineStr">
        <is>
          <t>ver no ML</t>
        </is>
      </c>
    </row>
    <row r="138">
      <c r="A138" s="33" t="n">
        <v>128</v>
      </c>
      <c r="B138" s="33" t="n">
        <v>1</v>
      </c>
      <c r="C138" s="34" t="inlineStr">
        <is>
          <t>TABLET APPLE IPAD 9 64GB A2602 NS:SC12TH43J5X</t>
        </is>
      </c>
      <c r="D138" s="35" t="n">
        <v>1400</v>
      </c>
      <c r="E138" s="35" t="n">
        <v>1400</v>
      </c>
      <c r="F138" s="33" t="inlineStr">
        <is>
          <t>70%</t>
        </is>
      </c>
      <c r="G138" s="32" t="inlineStr">
        <is>
          <t>ver no ML</t>
        </is>
      </c>
    </row>
    <row r="139">
      <c r="A139" s="29" t="n">
        <v>129</v>
      </c>
      <c r="B139" s="29" t="n">
        <v>1</v>
      </c>
      <c r="C139" s="30" t="inlineStr">
        <is>
          <t>TABLET APPLE IPAD 9 64GB A2602 NS:SC0M7X2NGPG</t>
        </is>
      </c>
      <c r="D139" s="31" t="n">
        <v>1400</v>
      </c>
      <c r="E139" s="31" t="n">
        <v>1400</v>
      </c>
      <c r="F139" s="29" t="inlineStr">
        <is>
          <t>70%</t>
        </is>
      </c>
      <c r="G139" s="32" t="inlineStr">
        <is>
          <t>ver no ML</t>
        </is>
      </c>
    </row>
    <row r="140">
      <c r="A140" s="33" t="n">
        <v>130</v>
      </c>
      <c r="B140" s="33" t="n">
        <v>1</v>
      </c>
      <c r="C140" s="34" t="inlineStr">
        <is>
          <t>TABLET APPLE IPAD 9 64GB A2602 NS:SDLP7PWK2VM</t>
        </is>
      </c>
      <c r="D140" s="35" t="n">
        <v>1400</v>
      </c>
      <c r="E140" s="35" t="n">
        <v>1400</v>
      </c>
      <c r="F140" s="33" t="inlineStr">
        <is>
          <t>70%</t>
        </is>
      </c>
      <c r="G140" s="32" t="inlineStr">
        <is>
          <t>ver no ML</t>
        </is>
      </c>
    </row>
    <row r="141">
      <c r="A141" s="29" t="n">
        <v>131</v>
      </c>
      <c r="B141" s="29" t="n">
        <v>1</v>
      </c>
      <c r="C141" s="30" t="inlineStr">
        <is>
          <t>TABLET APPLE IPAD 9 64GB A2602 NS:SK4M2LJN4FK</t>
        </is>
      </c>
      <c r="D141" s="31" t="n">
        <v>1400</v>
      </c>
      <c r="E141" s="31" t="n">
        <v>1400</v>
      </c>
      <c r="F141" s="29" t="inlineStr">
        <is>
          <t>70%</t>
        </is>
      </c>
      <c r="G141" s="32" t="inlineStr">
        <is>
          <t>ver no ML</t>
        </is>
      </c>
    </row>
    <row r="142">
      <c r="A142" s="33" t="n">
        <v>132</v>
      </c>
      <c r="B142" s="33" t="n">
        <v>1</v>
      </c>
      <c r="C142" s="34" t="inlineStr">
        <is>
          <t>TABLET APPLE IPAD 9 64GB A2602 NS:SCR7WR3GWHG</t>
        </is>
      </c>
      <c r="D142" s="35" t="n">
        <v>1400</v>
      </c>
      <c r="E142" s="35" t="n">
        <v>1400</v>
      </c>
      <c r="F142" s="33" t="inlineStr">
        <is>
          <t>70%</t>
        </is>
      </c>
      <c r="G142" s="32" t="inlineStr">
        <is>
          <t>ver no ML</t>
        </is>
      </c>
    </row>
    <row r="143">
      <c r="A143" s="29" t="n">
        <v>133</v>
      </c>
      <c r="B143" s="29" t="n">
        <v>1</v>
      </c>
      <c r="C143" s="30" t="inlineStr">
        <is>
          <t>TABLET APPLE IPAD 9 64GB A2602 NS:SDJV6K07LYN</t>
        </is>
      </c>
      <c r="D143" s="31" t="n">
        <v>1400</v>
      </c>
      <c r="E143" s="31" t="n">
        <v>1400</v>
      </c>
      <c r="F143" s="29" t="inlineStr">
        <is>
          <t>70%</t>
        </is>
      </c>
      <c r="G143" s="32" t="inlineStr">
        <is>
          <t>ver no ML</t>
        </is>
      </c>
    </row>
    <row r="144">
      <c r="A144" s="33" t="n">
        <v>134</v>
      </c>
      <c r="B144" s="33" t="n">
        <v>1</v>
      </c>
      <c r="C144" s="34" t="inlineStr">
        <is>
          <t>TABLET APPLE IPAD 9 64GB A2602 NS:SGPY2K19JX3</t>
        </is>
      </c>
      <c r="D144" s="35" t="n">
        <v>1400</v>
      </c>
      <c r="E144" s="35" t="n">
        <v>1400</v>
      </c>
      <c r="F144" s="33" t="inlineStr">
        <is>
          <t>70%</t>
        </is>
      </c>
      <c r="G144" s="32" t="inlineStr">
        <is>
          <t>ver no ML</t>
        </is>
      </c>
    </row>
    <row r="145">
      <c r="A145" s="29" t="n">
        <v>135</v>
      </c>
      <c r="B145" s="29" t="n">
        <v>1</v>
      </c>
      <c r="C145" s="30" t="inlineStr">
        <is>
          <t>TABLET APPLE IPAD 9 64GB A2602 NS:SFWHV22Q3L5</t>
        </is>
      </c>
      <c r="D145" s="31" t="n">
        <v>1350</v>
      </c>
      <c r="E145" s="31" t="n">
        <v>1350</v>
      </c>
      <c r="F145" s="29" t="inlineStr">
        <is>
          <t>78%</t>
        </is>
      </c>
      <c r="G145" s="32" t="inlineStr">
        <is>
          <t>ver no ML</t>
        </is>
      </c>
    </row>
    <row r="146">
      <c r="A146" s="33" t="n">
        <v>136</v>
      </c>
      <c r="B146" s="33" t="n">
        <v>1</v>
      </c>
      <c r="C146" s="34" t="inlineStr">
        <is>
          <t>TABLET APPLE IPAD 9 64GB A2602 NS:SF7N1VJFYVN</t>
        </is>
      </c>
      <c r="D146" s="35" t="n">
        <v>1350</v>
      </c>
      <c r="E146" s="35" t="n">
        <v>1350</v>
      </c>
      <c r="F146" s="33" t="inlineStr">
        <is>
          <t>78%</t>
        </is>
      </c>
      <c r="G146" s="32" t="inlineStr">
        <is>
          <t>ver no ML</t>
        </is>
      </c>
    </row>
    <row r="147">
      <c r="A147" s="29" t="n">
        <v>137</v>
      </c>
      <c r="B147" s="29" t="n">
        <v>1</v>
      </c>
      <c r="C147" s="30" t="inlineStr">
        <is>
          <t>TABLET APPLE IPAD 9 64GB A2602 NS:SHR74NW0JWR</t>
        </is>
      </c>
      <c r="D147" s="31" t="n">
        <v>1350</v>
      </c>
      <c r="E147" s="31" t="n">
        <v>1350</v>
      </c>
      <c r="F147" s="29" t="inlineStr">
        <is>
          <t>78%</t>
        </is>
      </c>
      <c r="G147" s="32" t="inlineStr">
        <is>
          <t>ver no ML</t>
        </is>
      </c>
    </row>
    <row r="148">
      <c r="A148" s="33" t="n">
        <v>138</v>
      </c>
      <c r="B148" s="33" t="n">
        <v>1</v>
      </c>
      <c r="C148" s="34" t="inlineStr">
        <is>
          <t>TABLET APPLE IPAD 9 64GB A2602 NS:SF9J26YQ5DP</t>
        </is>
      </c>
      <c r="D148" s="35" t="n">
        <v>1350</v>
      </c>
      <c r="E148" s="35" t="n">
        <v>1350</v>
      </c>
      <c r="F148" s="33" t="inlineStr">
        <is>
          <t>70%</t>
        </is>
      </c>
      <c r="G148" s="32" t="inlineStr">
        <is>
          <t>ver no ML</t>
        </is>
      </c>
    </row>
    <row r="149">
      <c r="A149" s="29" t="n">
        <v>139</v>
      </c>
      <c r="B149" s="29" t="n">
        <v>1</v>
      </c>
      <c r="C149" s="30" t="inlineStr">
        <is>
          <t>TABLET APPLE IPAD 9 64GB A2602 NS:SKY0T57MD6T</t>
        </is>
      </c>
      <c r="D149" s="31" t="n">
        <v>1350</v>
      </c>
      <c r="E149" s="31" t="n">
        <v>1350</v>
      </c>
      <c r="F149" s="29" t="inlineStr">
        <is>
          <t>70%</t>
        </is>
      </c>
      <c r="G149" s="32" t="inlineStr">
        <is>
          <t>ver no ML</t>
        </is>
      </c>
    </row>
    <row r="150">
      <c r="C150" s="26" t="inlineStr">
        <is>
          <t>VALOR DE MERCADO TOTAL</t>
        </is>
      </c>
      <c r="D150" s="27" t="inlineStr"/>
      <c r="E150" s="28">
        <f>SUM(E11:E149)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  <hyperlink xmlns:r="http://schemas.openxmlformats.org/officeDocument/2006/relationships" ref="G90" r:id="rId80"/>
    <hyperlink xmlns:r="http://schemas.openxmlformats.org/officeDocument/2006/relationships" ref="G91" r:id="rId81"/>
    <hyperlink xmlns:r="http://schemas.openxmlformats.org/officeDocument/2006/relationships" ref="G92" r:id="rId82"/>
    <hyperlink xmlns:r="http://schemas.openxmlformats.org/officeDocument/2006/relationships" ref="G93" r:id="rId83"/>
    <hyperlink xmlns:r="http://schemas.openxmlformats.org/officeDocument/2006/relationships" ref="G94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  <hyperlink xmlns:r="http://schemas.openxmlformats.org/officeDocument/2006/relationships" ref="G109" r:id="rId99"/>
    <hyperlink xmlns:r="http://schemas.openxmlformats.org/officeDocument/2006/relationships" ref="G110" r:id="rId100"/>
    <hyperlink xmlns:r="http://schemas.openxmlformats.org/officeDocument/2006/relationships" ref="G111" r:id="rId101"/>
    <hyperlink xmlns:r="http://schemas.openxmlformats.org/officeDocument/2006/relationships" ref="G112" r:id="rId102"/>
    <hyperlink xmlns:r="http://schemas.openxmlformats.org/officeDocument/2006/relationships" ref="G113" r:id="rId103"/>
    <hyperlink xmlns:r="http://schemas.openxmlformats.org/officeDocument/2006/relationships" ref="G114" r:id="rId104"/>
    <hyperlink xmlns:r="http://schemas.openxmlformats.org/officeDocument/2006/relationships" ref="G115" r:id="rId105"/>
    <hyperlink xmlns:r="http://schemas.openxmlformats.org/officeDocument/2006/relationships" ref="G116" r:id="rId106"/>
    <hyperlink xmlns:r="http://schemas.openxmlformats.org/officeDocument/2006/relationships" ref="G117" r:id="rId107"/>
    <hyperlink xmlns:r="http://schemas.openxmlformats.org/officeDocument/2006/relationships" ref="G118" r:id="rId108"/>
    <hyperlink xmlns:r="http://schemas.openxmlformats.org/officeDocument/2006/relationships" ref="G119" r:id="rId109"/>
    <hyperlink xmlns:r="http://schemas.openxmlformats.org/officeDocument/2006/relationships" ref="G120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4" r:id="rId134"/>
    <hyperlink xmlns:r="http://schemas.openxmlformats.org/officeDocument/2006/relationships" ref="G145" r:id="rId135"/>
    <hyperlink xmlns:r="http://schemas.openxmlformats.org/officeDocument/2006/relationships" ref="G146" r:id="rId136"/>
    <hyperlink xmlns:r="http://schemas.openxmlformats.org/officeDocument/2006/relationships" ref="G147" r:id="rId137"/>
    <hyperlink xmlns:r="http://schemas.openxmlformats.org/officeDocument/2006/relationships" ref="G148" r:id="rId138"/>
    <hyperlink xmlns:r="http://schemas.openxmlformats.org/officeDocument/2006/relationships" ref="G149" r:id="rId13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14 — OBJETO DE ARTE/COLEÇÃO/ANTIGUIDADE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1800</v>
      </c>
    </row>
    <row r="5">
      <c r="A5" s="16" t="inlineStr">
        <is>
          <t>Valor de mercado (itens)</t>
        </is>
      </c>
      <c r="C5" s="18" t="n">
        <v>2220</v>
      </c>
    </row>
    <row r="6">
      <c r="A6" s="16" t="inlineStr">
        <is>
          <t>LANCE mínimo (conservador)</t>
        </is>
      </c>
      <c r="C6" s="19" t="n">
        <v>777</v>
      </c>
    </row>
    <row r="7">
      <c r="A7" s="16" t="inlineStr">
        <is>
          <t>LANCE ideal</t>
        </is>
      </c>
      <c r="C7" s="19" t="n">
        <v>1010</v>
      </c>
    </row>
    <row r="8">
      <c r="A8" s="16" t="inlineStr">
        <is>
          <t>LANCE máximo (agressivo)</t>
        </is>
      </c>
      <c r="C8" s="20" t="n">
        <v>1321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37</v>
      </c>
      <c r="C11" s="30" t="inlineStr">
        <is>
          <t>ANTIGUIDADES - COPOS ABAJURES, ARANDELAS, LUSTRES, VASOS E ETC. D23 0005 6244</t>
        </is>
      </c>
      <c r="D11" s="31" t="n">
        <v>60</v>
      </c>
      <c r="E11" s="31" t="n">
        <v>2220</v>
      </c>
      <c r="F11" s="29" t="inlineStr">
        <is>
          <t>40%</t>
        </is>
      </c>
      <c r="G11" s="32" t="inlineStr">
        <is>
          <t>ver no ML</t>
        </is>
      </c>
    </row>
    <row r="12">
      <c r="A12" s="22" t="n">
        <v>2</v>
      </c>
      <c r="B12" s="22" t="n">
        <v>6</v>
      </c>
      <c r="C12" s="23" t="inlineStr">
        <is>
          <t>PECAS ARTESANAIS DE METAL PISTOES METALICOS 045 4895 0311 6891114156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390</v>
      </c>
      <c r="C13" s="23" t="inlineStr">
        <is>
          <t>PARTES E PECAS USADAS DE FERRO PARA MOINHOS DE CAFE ANTIGOS VOLUME 1 045 4249 0420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A14" s="22" t="n">
        <v>4</v>
      </c>
      <c r="B14" s="22" t="n">
        <v>316</v>
      </c>
      <c r="C14" s="23" t="inlineStr">
        <is>
          <t>ARTEFATOS DE METAL ANTIGOS DE DECORACAO (USADOS) VOLUME 2 045 4249 0420</t>
        </is>
      </c>
      <c r="D14" s="24" t="inlineStr">
        <is>
          <t>—</t>
        </is>
      </c>
      <c r="E14" s="24" t="inlineStr">
        <is>
          <t>—</t>
        </is>
      </c>
      <c r="F14" s="22" t="inlineStr">
        <is>
          <t>s/ preço</t>
        </is>
      </c>
      <c r="G14" s="25" t="inlineStr">
        <is>
          <t>ver no ML</t>
        </is>
      </c>
    </row>
    <row r="15">
      <c r="A15" s="22" t="n">
        <v>5</v>
      </c>
      <c r="B15" s="22" t="n">
        <v>117</v>
      </c>
      <c r="C15" s="23" t="inlineStr">
        <is>
          <t>LETREIROS DE METAL ANTIGOS VOLUME 3 VOLUMES 3 045 4249 0420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C16" s="26" t="inlineStr">
        <is>
          <t>VALOR DE MERCADO TOTAL</t>
        </is>
      </c>
      <c r="D16" s="27" t="inlineStr"/>
      <c r="E16" s="28">
        <f>SUM(E11:E15)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23 — BOLSA/CALÇADOS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20000</v>
      </c>
    </row>
    <row r="5">
      <c r="A5" s="16" t="inlineStr">
        <is>
          <t>Valor de mercado (itens)</t>
        </is>
      </c>
      <c r="C5" s="18" t="n">
        <v>477465</v>
      </c>
    </row>
    <row r="6">
      <c r="A6" s="16" t="inlineStr">
        <is>
          <t>LANCE mínimo (conservador)</t>
        </is>
      </c>
      <c r="C6" s="19" t="n">
        <v>167113</v>
      </c>
    </row>
    <row r="7">
      <c r="A7" s="16" t="inlineStr">
        <is>
          <t>LANCE ideal</t>
        </is>
      </c>
      <c r="C7" s="19" t="n">
        <v>217247</v>
      </c>
    </row>
    <row r="8">
      <c r="A8" s="16" t="inlineStr">
        <is>
          <t>LANCE máximo (agressivo)</t>
        </is>
      </c>
      <c r="C8" s="20" t="n">
        <v>284092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1945</v>
      </c>
      <c r="C11" s="30" t="inlineStr">
        <is>
          <t>BOLSA , CARTEIRAS, PORTA-PASSAPORTE, NECESSAIRES, OUTROS, CK, GUESS, TOMMY, OUTRAS 891 2301 3900</t>
        </is>
      </c>
      <c r="D11" s="31" t="n">
        <v>90</v>
      </c>
      <c r="E11" s="31" t="n">
        <v>175050</v>
      </c>
      <c r="F11" s="29" t="inlineStr">
        <is>
          <t>45%</t>
        </is>
      </c>
      <c r="G11" s="32" t="inlineStr">
        <is>
          <t>ver no ML</t>
        </is>
      </c>
    </row>
    <row r="12">
      <c r="A12" s="33" t="n">
        <v>2</v>
      </c>
      <c r="B12" s="33" t="n">
        <v>1877</v>
      </c>
      <c r="C12" s="34" t="inlineStr">
        <is>
          <t>BOLSA , CARTEIRAS E NECESSAIRES, CALVIN KLEIN, GUESS, TOMMY, OUTROS 891 2301 3933</t>
        </is>
      </c>
      <c r="D12" s="35" t="n">
        <v>90</v>
      </c>
      <c r="E12" s="35" t="n">
        <v>168930</v>
      </c>
      <c r="F12" s="33" t="inlineStr">
        <is>
          <t>45%</t>
        </is>
      </c>
      <c r="G12" s="32" t="inlineStr">
        <is>
          <t>ver no ML</t>
        </is>
      </c>
    </row>
    <row r="13">
      <c r="A13" s="29" t="n">
        <v>3</v>
      </c>
      <c r="B13" s="29" t="n">
        <v>227</v>
      </c>
      <c r="C13" s="30" t="inlineStr">
        <is>
          <t>CHAPEUS DE RODEIO 891 2301 6873</t>
        </is>
      </c>
      <c r="D13" s="31" t="n">
        <v>70</v>
      </c>
      <c r="E13" s="31" t="n">
        <v>15890</v>
      </c>
      <c r="F13" s="29" t="inlineStr">
        <is>
          <t>50%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BOLSA BALENCIAGA LE CAGOLE XS SHOULDER BAG 996 1194 8322 2206141906</t>
        </is>
      </c>
      <c r="D14" s="35" t="n">
        <v>5500</v>
      </c>
      <c r="E14" s="35" t="n">
        <v>5500</v>
      </c>
      <c r="F14" s="33" t="inlineStr">
        <is>
          <t>65%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BOLSA SAINT LAURENT CASSANDRE MATELASSE PRETA-TRANSVERSAL MONOGRAMADA -- 045 4665 6315 7517945584 (F)</t>
        </is>
      </c>
      <c r="D15" s="31" t="n">
        <v>4000</v>
      </c>
      <c r="E15" s="31" t="n">
        <v>4000</v>
      </c>
      <c r="F15" s="29" t="inlineStr">
        <is>
          <t>62%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BOLSA CLHOE CROSSBODY 045 4996 7610 4332941981</t>
        </is>
      </c>
      <c r="D16" s="35" t="n">
        <v>3500</v>
      </c>
      <c r="E16" s="35" t="n">
        <v>3500</v>
      </c>
      <c r="F16" s="33" t="inlineStr">
        <is>
          <t>70%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BOLSA JACQUEMUS LE CHIQUITO MINI BAG 996 1194 5430 1224692276</t>
        </is>
      </c>
      <c r="D17" s="31" t="n">
        <v>3500</v>
      </c>
      <c r="E17" s="31" t="n">
        <v>3500</v>
      </c>
      <c r="F17" s="29" t="inlineStr">
        <is>
          <t>75%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SAPATO MACH &amp; MACH SCARPIN FANTASY COM APLICACAO DE CRISTAL SALTO 10 - TAM.: 37 -- 996 1209 8015 1918852386 (F)</t>
        </is>
      </c>
      <c r="D18" s="35" t="n">
        <v>2700</v>
      </c>
      <c r="E18" s="35" t="n">
        <v>2700</v>
      </c>
      <c r="F18" s="33" t="inlineStr">
        <is>
          <t>58%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BOLSA JACQUEMUS LE CHIQUITO TOTE BAG 996 1194 5286 5878379496</t>
        </is>
      </c>
      <c r="D19" s="31" t="n">
        <v>2600</v>
      </c>
      <c r="E19" s="31" t="n">
        <v>2600</v>
      </c>
      <c r="F19" s="29" t="inlineStr">
        <is>
          <t>65%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CALCADOS BALENCIAGA X ADIDAS TRIPLE S SNEAKERS 996 1210 0616 5508688570</t>
        </is>
      </c>
      <c r="D20" s="35" t="n">
        <v>2500</v>
      </c>
      <c r="E20" s="35" t="n">
        <v>2500</v>
      </c>
      <c r="F20" s="33" t="inlineStr">
        <is>
          <t>65%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SAPATO VALENTINO GARAVANI TAN-GO PLATFORM PUMPS-SALTO 15 - COR: LIGHT BEIGE - TAM.: 37 -- 045 4477 5511 8694017695 (F)(N///OTA)</t>
        </is>
      </c>
      <c r="D21" s="31" t="n">
        <v>2200</v>
      </c>
      <c r="E21" s="31" t="n">
        <v>2200</v>
      </c>
      <c r="F21" s="29" t="inlineStr">
        <is>
          <t>65%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BOLSA MACH &amp; MACH SAMANTHA MINI COM CRISTAIS - PRETA -- 045 4665 6315 1960723741 (F)</t>
        </is>
      </c>
      <c r="D22" s="35" t="n">
        <v>2200</v>
      </c>
      <c r="E22" s="35" t="n">
        <v>2200</v>
      </c>
      <c r="F22" s="33" t="inlineStr">
        <is>
          <t>55%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TENIS LANVIN BUMPER COM CADARCO - CORES: BEGE E CRU - TAM.: 43 -- 045 4152 9342 6557768976 (F) (ETIQUETA)</t>
        </is>
      </c>
      <c r="D23" s="31" t="n">
        <v>2200</v>
      </c>
      <c r="E23" s="31" t="n">
        <v>2200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SAPATENIS BALENCIAGA TRACK LACE UP MULES - BRANCO - TAM.: 39 -- 045 4665 6315 9898923985 (F)</t>
        </is>
      </c>
      <c r="D24" s="35" t="n">
        <v>1900</v>
      </c>
      <c r="E24" s="35" t="n">
        <v>1900</v>
      </c>
      <c r="F24" s="33" t="inlineStr">
        <is>
          <t>65%</t>
        </is>
      </c>
      <c r="G24" s="32" t="inlineStr">
        <is>
          <t>ver no ML</t>
        </is>
      </c>
    </row>
    <row r="25">
      <c r="A25" s="29" t="n">
        <v>15</v>
      </c>
      <c r="B25" s="29" t="n">
        <v>2</v>
      </c>
      <c r="C25" s="30" t="inlineStr">
        <is>
          <t>CINTO DE COURO ALEXANDER MCQUEEN SKULL EYELET-EMBELLISHED BELT -- 996 1209 8402 1221076684 (F)</t>
        </is>
      </c>
      <c r="D25" s="31" t="n">
        <v>900</v>
      </c>
      <c r="E25" s="31" t="n">
        <v>1800</v>
      </c>
      <c r="F25" s="29" t="inlineStr">
        <is>
          <t>52%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TENIS BALENCIAGA SPEED PULL-ON - PRETO/BRANCO - TAM.: 40 -- 996 1210 0944 2324412381 (F)(NOTA)</t>
        </is>
      </c>
      <c r="D26" s="35" t="n">
        <v>1700</v>
      </c>
      <c r="E26" s="35" t="n">
        <v>1700</v>
      </c>
      <c r="F26" s="33" t="inlineStr">
        <is>
          <t>62%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TENIS SALVATORE FERRAGAMO GARDENA SOCK SNEAKERS - PRETO E DOURADO - TAM.: 8 - REF.: 756164 -- 996 1207 8253 6423791522 (///F)</t>
        </is>
      </c>
      <c r="D27" s="31" t="n">
        <v>1600</v>
      </c>
      <c r="E27" s="31" t="n">
        <v>1600</v>
      </c>
      <c r="F27" s="29" t="inlineStr">
        <is>
          <t>65%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TENIS ALEXANDER MCQUEEN COLOUR BLOCK COM SOLADO CHUNKY - PRETO E BRANCO - TAM.: 42 -- 996 1210 0852 2673605211 (F) (ETIQ///UETA)</t>
        </is>
      </c>
      <c r="D28" s="35" t="n">
        <v>1500</v>
      </c>
      <c r="E28" s="35" t="n">
        <v>1500</v>
      </c>
      <c r="F28" s="33" t="inlineStr">
        <is>
          <t>65%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CALCADOS ISABEL MARANT CALFHIGH SUEDE BOOTS 045 4665 5361 9979864086</t>
        </is>
      </c>
      <c r="D29" s="31" t="n">
        <v>1500</v>
      </c>
      <c r="E29" s="31" t="n">
        <v>1500</v>
      </c>
      <c r="F29" s="29" t="inlineStr">
        <is>
          <t>55%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TENIS CHLOE WHIPSTITCH-TRIM TRAINERS (ACABAMENTO DE PESPONTO) COR: BISCOTTI BEIGE - TAM.: 40 -- 996 1207 8286 5875087934///(F)</t>
        </is>
      </c>
      <c r="D30" s="35" t="n">
        <v>1500</v>
      </c>
      <c r="E30" s="35" t="n">
        <v>1500</v>
      </c>
      <c r="F30" s="33" t="inlineStr">
        <is>
          <t>60%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BOLSA OFF-WHITE BLOCK POUCH QUOTE CLUTCH BAG 996 1209 8166 7631630370</t>
        </is>
      </c>
      <c r="D31" s="31" t="n">
        <v>1500</v>
      </c>
      <c r="E31" s="31" t="n">
        <v>1500</v>
      </c>
      <c r="F31" s="29" t="inlineStr">
        <is>
          <t>50%</t>
        </is>
      </c>
      <c r="G31" s="32" t="inlineStr">
        <is>
          <t>ver no ML</t>
        </is>
      </c>
    </row>
    <row r="32">
      <c r="A32" s="33" t="n">
        <v>22</v>
      </c>
      <c r="B32" s="33" t="n">
        <v>1</v>
      </c>
      <c r="C32" s="34" t="inlineStr">
        <is>
          <t>TENIS VERSACE MEDUSA LAMINATE CANO BAIXO - TAM.: 40 -- 996 1207 8463 7095352563 (F)</t>
        </is>
      </c>
      <c r="D32" s="35" t="n">
        <v>1400</v>
      </c>
      <c r="E32" s="35" t="n">
        <v>1400</v>
      </c>
      <c r="F32" s="33" t="inlineStr">
        <is>
          <t>65%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TENIS GOLDEN GOOSE STAR-PATCH LACE-UP SNEAKERS - TAM.: 40 - CORES: WHITE/ICE/GOLD/BLACK -- 045 4720 3575 2906481270 (F)</t>
        </is>
      </c>
      <c r="D33" s="31" t="n">
        <v>1400</v>
      </c>
      <c r="E33" s="31" t="n">
        <v>1400</v>
      </c>
      <c r="F33" s="29" t="inlineStr">
        <is>
          <t>65%</t>
        </is>
      </c>
      <c r="G33" s="32" t="inlineStr">
        <is>
          <t>ver no ML</t>
        </is>
      </c>
    </row>
    <row r="34">
      <c r="A34" s="33" t="n">
        <v>24</v>
      </c>
      <c r="B34" s="33" t="n">
        <v>1</v>
      </c>
      <c r="C34" s="34" t="inlineStr">
        <is>
          <t>TENIS GOLDEN GOOSE WHITE SSTAR KEEP DOING WHAT U LOVE LEATHER TRAINER TAM.: 39 -- 045 4720 3575 5821643284</t>
        </is>
      </c>
      <c r="D34" s="35" t="n">
        <v>1400</v>
      </c>
      <c r="E34" s="35" t="n">
        <v>1400</v>
      </c>
      <c r="F34" s="33" t="inlineStr">
        <is>
          <t>65%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CALCADOS FEMININOS SUMMER WALK, LORO PIANA 891 2301 4445</t>
        </is>
      </c>
      <c r="D35" s="31" t="n">
        <v>1300</v>
      </c>
      <c r="E35" s="31" t="n">
        <v>1300</v>
      </c>
      <c r="F35" s="29" t="inlineStr">
        <is>
          <t>60%</t>
        </is>
      </c>
      <c r="G35" s="32" t="inlineStr">
        <is>
          <t>ver no ML</t>
        </is>
      </c>
    </row>
    <row r="36">
      <c r="A36" s="33" t="n">
        <v>26</v>
      </c>
      <c r="B36" s="33" t="n">
        <v>1</v>
      </c>
      <c r="C36" s="34" t="inlineStr">
        <is>
          <t>SAPATO DOLCE &amp; GABBANA SLINGBACK COM LOGO GRAVADO - SALTO 5 - COR: FUCSIA - TAM.: 38 -- 996 1210 1003 3108517565 (F)</t>
        </is>
      </c>
      <c r="D36" s="35" t="n">
        <v>1300</v>
      </c>
      <c r="E36" s="35" t="n">
        <v>1300</v>
      </c>
      <c r="F36" s="33" t="inlineStr">
        <is>
          <t>60%</t>
        </is>
      </c>
      <c r="G36" s="32" t="inlineStr">
        <is>
          <t>ver no ML</t>
        </is>
      </c>
    </row>
    <row r="37">
      <c r="A37" s="29" t="n">
        <v>27</v>
      </c>
      <c r="B37" s="29" t="n">
        <v>1</v>
      </c>
      <c r="C37" s="30" t="inlineStr">
        <is>
          <t>TENIS OFF-WHITE VULCANIZED LOW-TOP CALF LEATHER-WHITE BLACK-TAM: 43 REF.: OMIA085C99LEA0010100 -- 996 1209 8166 68913759///34</t>
        </is>
      </c>
      <c r="D37" s="31" t="n">
        <v>1300</v>
      </c>
      <c r="E37" s="31" t="n">
        <v>1300</v>
      </c>
      <c r="F37" s="29" t="inlineStr">
        <is>
          <t>65%</t>
        </is>
      </c>
      <c r="G37" s="32" t="inlineStr">
        <is>
          <t>ver no ML</t>
        </is>
      </c>
    </row>
    <row r="38">
      <c r="A38" s="33" t="n">
        <v>28</v>
      </c>
      <c r="B38" s="33" t="n">
        <v>1</v>
      </c>
      <c r="C38" s="34" t="inlineStr">
        <is>
          <t>TENIS PALM ANGELS SNOW CANO BAIXO - AZUL E BRANCO - TAM.: 41 -- 045 4478 0396 4211603406 (F)</t>
        </is>
      </c>
      <c r="D38" s="35" t="n">
        <v>1300</v>
      </c>
      <c r="E38" s="35" t="n">
        <v>1300</v>
      </c>
      <c r="F38" s="33" t="inlineStr">
        <is>
          <t>50%</t>
        </is>
      </c>
      <c r="G38" s="32" t="inlineStr">
        <is>
          <t>ver no ML</t>
        </is>
      </c>
    </row>
    <row r="39">
      <c r="A39" s="29" t="n">
        <v>29</v>
      </c>
      <c r="B39" s="29" t="n">
        <v>1</v>
      </c>
      <c r="C39" s="30" t="inlineStr">
        <is>
          <t>SAPATO AQUAZZURA SCARPIN BOW-TIE SALTO 8,5 - COR: GOLD CHOCOLATE - TAM.: 39 -- 996 1209 8225 6040695415 (F)</t>
        </is>
      </c>
      <c r="D39" s="31" t="n">
        <v>1200</v>
      </c>
      <c r="E39" s="31" t="n">
        <v>1200</v>
      </c>
      <c r="F39" s="29" t="inlineStr">
        <is>
          <t>60%</t>
        </is>
      </c>
      <c r="G39" s="32" t="inlineStr">
        <is>
          <t>ver no ML</t>
        </is>
      </c>
    </row>
    <row r="40">
      <c r="A40" s="33" t="n">
        <v>30</v>
      </c>
      <c r="B40" s="33" t="n">
        <v>2</v>
      </c>
      <c r="C40" s="34" t="inlineStr">
        <is>
          <t>TENIS UNSEEN FOOTWEAR MARAIS DE CAMURCA E COURO - CORES: PISTACHIO/WHITE - TAM.: 38 -- 996 1210 1272 4328938412 (F)</t>
        </is>
      </c>
      <c r="D40" s="35" t="n">
        <v>600</v>
      </c>
      <c r="E40" s="35" t="n">
        <v>1200</v>
      </c>
      <c r="F40" s="33" t="inlineStr">
        <is>
          <t>60%</t>
        </is>
      </c>
      <c r="G40" s="32" t="inlineStr">
        <is>
          <t>ver no ML</t>
        </is>
      </c>
    </row>
    <row r="41">
      <c r="A41" s="29" t="n">
        <v>31</v>
      </c>
      <c r="B41" s="29" t="n">
        <v>1</v>
      </c>
      <c r="C41" s="30" t="inlineStr">
        <is>
          <t>SAPATO SALVATORE FERRAGAMO OXFORD COM BORDADO - PRETO - TAM.: 9 -- 996 1207 7833 1367452951 (F)(NOTA)</t>
        </is>
      </c>
      <c r="D41" s="31" t="n">
        <v>1200</v>
      </c>
      <c r="E41" s="31" t="n">
        <v>1200</v>
      </c>
      <c r="F41" s="29" t="inlineStr">
        <is>
          <t>65%</t>
        </is>
      </c>
      <c r="G41" s="32" t="inlineStr">
        <is>
          <t>ver no ML</t>
        </is>
      </c>
    </row>
    <row r="42">
      <c r="A42" s="33" t="n">
        <v>32</v>
      </c>
      <c r="B42" s="33" t="n">
        <v>1</v>
      </c>
      <c r="C42" s="34" t="inlineStr">
        <is>
          <t>BOLSA VERSACE BAROQUE PRINT NEOPRENE BELT BAG BLACK 996 1221 1474 1496757905</t>
        </is>
      </c>
      <c r="D42" s="35" t="n">
        <v>1200</v>
      </c>
      <c r="E42" s="35" t="n">
        <v>1200</v>
      </c>
      <c r="F42" s="33" t="inlineStr">
        <is>
          <t>60%</t>
        </is>
      </c>
      <c r="G42" s="32" t="inlineStr">
        <is>
          <t>ver no ML</t>
        </is>
      </c>
    </row>
    <row r="43">
      <c r="A43" s="29" t="n">
        <v>33</v>
      </c>
      <c r="B43" s="29" t="n">
        <v>1</v>
      </c>
      <c r="C43" s="30" t="inlineStr">
        <is>
          <t>BOLSA STAUD MOON LEATHER TOTE BAG 045 4628 3856 3110551883</t>
        </is>
      </c>
      <c r="D43" s="31" t="n">
        <v>1200</v>
      </c>
      <c r="E43" s="31" t="n">
        <v>1200</v>
      </c>
      <c r="F43" s="29" t="inlineStr">
        <is>
          <t>45%</t>
        </is>
      </c>
      <c r="G43" s="32" t="inlineStr">
        <is>
          <t>ver no ML</t>
        </is>
      </c>
    </row>
    <row r="44">
      <c r="A44" s="33" t="n">
        <v>34</v>
      </c>
      <c r="B44" s="33" t="n">
        <v>1</v>
      </c>
      <c r="C44" s="34" t="inlineStr">
        <is>
          <t>TENIS OFF-WHITE VULCANIZED CANO BAIXO: CORES: PRETO E BRANCO - TAM.: 41 -- 045 4996 7772 1585420955 (F)</t>
        </is>
      </c>
      <c r="D44" s="35" t="n">
        <v>1200</v>
      </c>
      <c r="E44" s="35" t="n">
        <v>1200</v>
      </c>
      <c r="F44" s="33" t="inlineStr">
        <is>
          <t>75%</t>
        </is>
      </c>
      <c r="G44" s="32" t="inlineStr">
        <is>
          <t>ver no ML</t>
        </is>
      </c>
    </row>
    <row r="45">
      <c r="A45" s="29" t="n">
        <v>35</v>
      </c>
      <c r="B45" s="29" t="n">
        <v>1</v>
      </c>
      <c r="C45" s="30" t="inlineStr">
        <is>
          <t>BOLSA MARC JACOBS RE-EDITION HILLIER HOBO - COR: ARGAN OIL -- 045 4152 8723 6374693286 (F)</t>
        </is>
      </c>
      <c r="D45" s="31" t="n">
        <v>1200</v>
      </c>
      <c r="E45" s="31" t="n">
        <v>1200</v>
      </c>
      <c r="F45" s="29" t="inlineStr">
        <is>
          <t>65%</t>
        </is>
      </c>
      <c r="G45" s="32" t="inlineStr">
        <is>
          <t>ver no ML</t>
        </is>
      </c>
    </row>
    <row r="46">
      <c r="A46" s="33" t="n">
        <v>36</v>
      </c>
      <c r="B46" s="33" t="n">
        <v>1</v>
      </c>
      <c r="C46" s="34" t="inlineStr">
        <is>
          <t>TENIS OFF WHITE TAM 45 045 4996 8693 4499055982</t>
        </is>
      </c>
      <c r="D46" s="35" t="n">
        <v>1200</v>
      </c>
      <c r="E46" s="35" t="n">
        <v>1200</v>
      </c>
      <c r="F46" s="33" t="inlineStr">
        <is>
          <t>60%</t>
        </is>
      </c>
      <c r="G46" s="32" t="inlineStr">
        <is>
          <t>ver no ML</t>
        </is>
      </c>
    </row>
    <row r="47">
      <c r="A47" s="29" t="n">
        <v>37</v>
      </c>
      <c r="B47" s="29" t="n">
        <v>1</v>
      </c>
      <c r="C47" s="30" t="inlineStr">
        <is>
          <t>TENIS OFF WHITE TAM 41 045 4996 8634 1933970592</t>
        </is>
      </c>
      <c r="D47" s="31" t="n">
        <v>1200</v>
      </c>
      <c r="E47" s="31" t="n">
        <v>1200</v>
      </c>
      <c r="F47" s="29" t="inlineStr">
        <is>
          <t>60%</t>
        </is>
      </c>
      <c r="G47" s="32" t="inlineStr">
        <is>
          <t>ver no ML</t>
        </is>
      </c>
    </row>
    <row r="48">
      <c r="A48" s="33" t="n">
        <v>38</v>
      </c>
      <c r="B48" s="33" t="n">
        <v>1</v>
      </c>
      <c r="C48" s="34" t="inlineStr">
        <is>
          <t>TENIS MASCULINO OF WHITE TAM 41 996 1238 0760 8444042876</t>
        </is>
      </c>
      <c r="D48" s="35" t="n">
        <v>1200</v>
      </c>
      <c r="E48" s="35" t="n">
        <v>1200</v>
      </c>
      <c r="F48" s="33" t="inlineStr">
        <is>
          <t>60%</t>
        </is>
      </c>
      <c r="G48" s="32" t="inlineStr">
        <is>
          <t>ver no ML</t>
        </is>
      </c>
    </row>
    <row r="49">
      <c r="A49" s="29" t="n">
        <v>39</v>
      </c>
      <c r="B49" s="29" t="n">
        <v>1</v>
      </c>
      <c r="C49" s="30" t="inlineStr">
        <is>
          <t>TENIS MASCULINO OFF WHITE TAM 42 045 4996 8634 1523916181</t>
        </is>
      </c>
      <c r="D49" s="31" t="n">
        <v>1200</v>
      </c>
      <c r="E49" s="31" t="n">
        <v>1200</v>
      </c>
      <c r="F49" s="29" t="inlineStr">
        <is>
          <t>60%</t>
        </is>
      </c>
      <c r="G49" s="32" t="inlineStr">
        <is>
          <t>ver no ML</t>
        </is>
      </c>
    </row>
    <row r="50">
      <c r="A50" s="33" t="n">
        <v>40</v>
      </c>
      <c r="B50" s="33" t="n">
        <v>1</v>
      </c>
      <c r="C50" s="34" t="inlineStr">
        <is>
          <t>TENIS OFF WHITE TAM 44 045 4537 5142 1699696235</t>
        </is>
      </c>
      <c r="D50" s="35" t="n">
        <v>1200</v>
      </c>
      <c r="E50" s="35" t="n">
        <v>1200</v>
      </c>
      <c r="F50" s="33" t="inlineStr">
        <is>
          <t>60%</t>
        </is>
      </c>
      <c r="G50" s="32" t="inlineStr">
        <is>
          <t>ver no ML</t>
        </is>
      </c>
    </row>
    <row r="51">
      <c r="A51" s="29" t="n">
        <v>41</v>
      </c>
      <c r="B51" s="29" t="n">
        <v>1</v>
      </c>
      <c r="C51" s="30" t="inlineStr">
        <is>
          <t>SAPATO VERSACE MEDUSA AEVITAS PLATFORM PUMPS - PRETO - TAM.: 36 -- 045 4477 5846 1925864883 (F)(ETIQUETA)</t>
        </is>
      </c>
      <c r="D51" s="31" t="n">
        <v>1100</v>
      </c>
      <c r="E51" s="31" t="n">
        <v>1100</v>
      </c>
      <c r="F51" s="29" t="inlineStr">
        <is>
          <t>62%</t>
        </is>
      </c>
      <c r="G51" s="32" t="inlineStr">
        <is>
          <t>ver no ML</t>
        </is>
      </c>
    </row>
    <row r="52">
      <c r="A52" s="33" t="n">
        <v>42</v>
      </c>
      <c r="B52" s="33" t="n">
        <v>1</v>
      </c>
      <c r="C52" s="34" t="inlineStr">
        <is>
          <t>CALCADOS CHRISTIAN LOUBOUTIN PARIS 996 1208 0843 1563732881</t>
        </is>
      </c>
      <c r="D52" s="35" t="n">
        <v>1100</v>
      </c>
      <c r="E52" s="35" t="n">
        <v>1100</v>
      </c>
      <c r="F52" s="33" t="inlineStr">
        <is>
          <t>50%</t>
        </is>
      </c>
      <c r="G52" s="32" t="inlineStr">
        <is>
          <t>ver no ML</t>
        </is>
      </c>
    </row>
    <row r="53">
      <c r="A53" s="29" t="n">
        <v>43</v>
      </c>
      <c r="B53" s="29" t="n">
        <v>1</v>
      </c>
      <c r="C53" s="30" t="inlineStr">
        <is>
          <t>BOLSA ZADIG &amp; VOLTAIRE ROCKYSSIME SHOULDER BAG - COURO - COR: ROSA -- 996 1210 0944 5157085743 (F)</t>
        </is>
      </c>
      <c r="D53" s="31" t="n">
        <v>1100</v>
      </c>
      <c r="E53" s="31" t="n">
        <v>1100</v>
      </c>
      <c r="F53" s="29" t="inlineStr">
        <is>
          <t>55%</t>
        </is>
      </c>
      <c r="G53" s="32" t="inlineStr">
        <is>
          <t>ver no ML</t>
        </is>
      </c>
    </row>
    <row r="54">
      <c r="A54" s="33" t="n">
        <v>44</v>
      </c>
      <c r="B54" s="33" t="n">
        <v>1</v>
      </c>
      <c r="C54" s="34" t="inlineStr">
        <is>
          <t>CALCADOS VERSACE MEDUSA AEVITAS PLATFORM PUMPS 996 1207 8043 2917705276</t>
        </is>
      </c>
      <c r="D54" s="35" t="n">
        <v>1100</v>
      </c>
      <c r="E54" s="35" t="n">
        <v>1100</v>
      </c>
      <c r="F54" s="33" t="inlineStr">
        <is>
          <t>62%</t>
        </is>
      </c>
      <c r="G54" s="32" t="inlineStr">
        <is>
          <t>ver no ML</t>
        </is>
      </c>
    </row>
    <row r="55">
      <c r="A55" s="29" t="n">
        <v>45</v>
      </c>
      <c r="B55" s="29" t="n">
        <v>1</v>
      </c>
      <c r="C55" s="30" t="inlineStr">
        <is>
          <t>BOTA VERSACE BOTA CANO MEDIO COM SALTO 30MM - REF.: 10030871A01 735 - TAM: 38 E 1/2 -- 996 1207 8043 4166932265</t>
        </is>
      </c>
      <c r="D55" s="31" t="n">
        <v>1100</v>
      </c>
      <c r="E55" s="31" t="n">
        <v>1100</v>
      </c>
      <c r="F55" s="29" t="inlineStr">
        <is>
          <t>52%</t>
        </is>
      </c>
      <c r="G55" s="32" t="inlineStr">
        <is>
          <t>ver no ML</t>
        </is>
      </c>
    </row>
    <row r="56">
      <c r="A56" s="33" t="n">
        <v>46</v>
      </c>
      <c r="B56" s="33" t="n">
        <v>2</v>
      </c>
      <c r="C56" s="34" t="inlineStr">
        <is>
          <t>CHUTEIRA ADIDAS GW4574 - PREDATOR ACCURACY.1 - CORES: LARANJA E PRETO - TAM.: 9 (US) -- 045 4478 1052 8128762176</t>
        </is>
      </c>
      <c r="D56" s="35" t="n">
        <v>500</v>
      </c>
      <c r="E56" s="35" t="n">
        <v>1000</v>
      </c>
      <c r="F56" s="33" t="inlineStr">
        <is>
          <t>65%</t>
        </is>
      </c>
      <c r="G56" s="32" t="inlineStr">
        <is>
          <t>ver no ML</t>
        </is>
      </c>
    </row>
    <row r="57">
      <c r="A57" s="29" t="n">
        <v>47</v>
      </c>
      <c r="B57" s="29" t="n">
        <v>1</v>
      </c>
      <c r="C57" s="30" t="inlineStr">
        <is>
          <t>BOLSA CULT GAIA 045 4478 0971 4788190466</t>
        </is>
      </c>
      <c r="D57" s="31" t="n">
        <v>1000</v>
      </c>
      <c r="E57" s="31" t="n">
        <v>1000</v>
      </c>
      <c r="F57" s="29" t="inlineStr">
        <is>
          <t>65%</t>
        </is>
      </c>
      <c r="G57" s="32" t="inlineStr">
        <is>
          <t>ver no ML</t>
        </is>
      </c>
    </row>
    <row r="58">
      <c r="A58" s="33" t="n">
        <v>48</v>
      </c>
      <c r="B58" s="33" t="n">
        <v>1</v>
      </c>
      <c r="C58" s="34" t="inlineStr">
        <is>
          <t>BOLSA VERSACE JEANS COUTURE BOLSA TRANSVERSAL MATELASSE REDONDA - PRETA -- 996 1230 3410 3986794722 (F)</t>
        </is>
      </c>
      <c r="D58" s="35" t="n">
        <v>1000</v>
      </c>
      <c r="E58" s="35" t="n">
        <v>1000</v>
      </c>
      <c r="F58" s="33" t="inlineStr">
        <is>
          <t>60%</t>
        </is>
      </c>
      <c r="G58" s="32" t="inlineStr">
        <is>
          <t>ver no ML</t>
        </is>
      </c>
    </row>
    <row r="59">
      <c r="A59" s="29" t="n">
        <v>49</v>
      </c>
      <c r="B59" s="29" t="n">
        <v>1</v>
      </c>
      <c r="C59" s="30" t="inlineStr">
        <is>
          <t>TENIS OFF WHITE TAM 43 045 4996 8752 6960156372</t>
        </is>
      </c>
      <c r="D59" s="31" t="n">
        <v>1000</v>
      </c>
      <c r="E59" s="31" t="n">
        <v>1000</v>
      </c>
      <c r="F59" s="29" t="inlineStr">
        <is>
          <t>55%</t>
        </is>
      </c>
      <c r="G59" s="32" t="inlineStr">
        <is>
          <t>ver no ML</t>
        </is>
      </c>
    </row>
    <row r="60">
      <c r="A60" s="33" t="n">
        <v>50</v>
      </c>
      <c r="B60" s="33" t="n">
        <v>1</v>
      </c>
      <c r="C60" s="34" t="inlineStr">
        <is>
          <t>TENIS OFF WHITE TAM 43 045 4996 8752 6960156372</t>
        </is>
      </c>
      <c r="D60" s="35" t="n">
        <v>1000</v>
      </c>
      <c r="E60" s="35" t="n">
        <v>1000</v>
      </c>
      <c r="F60" s="33" t="inlineStr">
        <is>
          <t>55%</t>
        </is>
      </c>
      <c r="G60" s="32" t="inlineStr">
        <is>
          <t>ver no ML</t>
        </is>
      </c>
    </row>
    <row r="61">
      <c r="A61" s="29" t="n">
        <v>51</v>
      </c>
      <c r="B61" s="29" t="n">
        <v>1</v>
      </c>
      <c r="C61" s="30" t="inlineStr">
        <is>
          <t>CINTO DE COURO SALVATORE FERRAGAMO COM GRAVACAO GANCINI - 115 CM -- 996 1207 7833 1367452951 (F)(NOTA)</t>
        </is>
      </c>
      <c r="D61" s="31" t="n">
        <v>950</v>
      </c>
      <c r="E61" s="31" t="n">
        <v>950</v>
      </c>
      <c r="F61" s="29" t="inlineStr">
        <is>
          <t>75%</t>
        </is>
      </c>
      <c r="G61" s="32" t="inlineStr">
        <is>
          <t>ver no ML</t>
        </is>
      </c>
    </row>
    <row r="62">
      <c r="A62" s="33" t="n">
        <v>52</v>
      </c>
      <c r="B62" s="33" t="n">
        <v>1</v>
      </c>
      <c r="C62" s="34" t="inlineStr">
        <is>
          <t>SAPATO VERSACE BAROCCO DE COURO - PRETO - TAM.: 41 -- 996 1210 0734 8631597413 (F)</t>
        </is>
      </c>
      <c r="D62" s="35" t="n">
        <v>900</v>
      </c>
      <c r="E62" s="35" t="n">
        <v>900</v>
      </c>
      <c r="F62" s="33" t="inlineStr">
        <is>
          <t>60%</t>
        </is>
      </c>
      <c r="G62" s="32" t="inlineStr">
        <is>
          <t>ver no ML</t>
        </is>
      </c>
    </row>
    <row r="63">
      <c r="A63" s="29" t="n">
        <v>53</v>
      </c>
      <c r="B63" s="29" t="n">
        <v>1</v>
      </c>
      <c r="C63" s="30" t="inlineStr">
        <is>
          <t>CALCADOS ISABEL MARANT BETHY TOUCH STRAP SNEAKERS 045 4152 8421 4259895301</t>
        </is>
      </c>
      <c r="D63" s="31" t="n">
        <v>900</v>
      </c>
      <c r="E63" s="31" t="n">
        <v>900</v>
      </c>
      <c r="F63" s="29" t="inlineStr">
        <is>
          <t>55%</t>
        </is>
      </c>
      <c r="G63" s="32" t="inlineStr">
        <is>
          <t>ver no ML</t>
        </is>
      </c>
    </row>
    <row r="64">
      <c r="A64" s="33" t="n">
        <v>54</v>
      </c>
      <c r="B64" s="33" t="n">
        <v>1</v>
      </c>
      <c r="C64" s="34" t="inlineStr">
        <is>
          <t>CALCADOS PHILIPPE MODEL PARIS 045 4152 8421 5026211153</t>
        </is>
      </c>
      <c r="D64" s="35" t="n">
        <v>900</v>
      </c>
      <c r="E64" s="35" t="n">
        <v>900</v>
      </c>
      <c r="F64" s="33" t="inlineStr">
        <is>
          <t>55%</t>
        </is>
      </c>
      <c r="G64" s="32" t="inlineStr">
        <is>
          <t>ver no ML</t>
        </is>
      </c>
    </row>
    <row r="65">
      <c r="A65" s="29" t="n">
        <v>55</v>
      </c>
      <c r="B65" s="29" t="n">
        <v>1</v>
      </c>
      <c r="C65" s="30" t="inlineStr">
        <is>
          <t>BOLSA SEEBYCHLOE 996 1209 8376 7220827250</t>
        </is>
      </c>
      <c r="D65" s="31" t="n">
        <v>900</v>
      </c>
      <c r="E65" s="31" t="n">
        <v>900</v>
      </c>
      <c r="F65" s="29" t="inlineStr">
        <is>
          <t>65%</t>
        </is>
      </c>
      <c r="G65" s="32" t="inlineStr">
        <is>
          <t>ver no ML</t>
        </is>
      </c>
    </row>
    <row r="66">
      <c r="A66" s="33" t="n">
        <v>56</v>
      </c>
      <c r="B66" s="33" t="n">
        <v>1</v>
      </c>
      <c r="C66" s="34" t="inlineStr">
        <is>
          <t>BOLSA LOVE MOSCHINO 996 1209 8376 2172436906</t>
        </is>
      </c>
      <c r="D66" s="35" t="n">
        <v>900</v>
      </c>
      <c r="E66" s="35" t="n">
        <v>900</v>
      </c>
      <c r="F66" s="33" t="inlineStr">
        <is>
          <t>60%</t>
        </is>
      </c>
      <c r="G66" s="32" t="inlineStr">
        <is>
          <t>ver no ML</t>
        </is>
      </c>
    </row>
    <row r="67">
      <c r="A67" s="29" t="n">
        <v>57</v>
      </c>
      <c r="B67" s="29" t="n">
        <v>1</v>
      </c>
      <c r="C67" s="30" t="inlineStr">
        <is>
          <t>BOLSA SEE BY CHLOE SMALL HANA CROSSBODY BAG - COR: GOLDEN YELLOW -- 045 4996 8026 2135597656 (F)</t>
        </is>
      </c>
      <c r="D67" s="31" t="n">
        <v>900</v>
      </c>
      <c r="E67" s="31" t="n">
        <v>900</v>
      </c>
      <c r="F67" s="29" t="inlineStr">
        <is>
          <t>65%</t>
        </is>
      </c>
      <c r="G67" s="32" t="inlineStr">
        <is>
          <t>ver no ML</t>
        </is>
      </c>
    </row>
    <row r="68">
      <c r="A68" s="33" t="n">
        <v>58</v>
      </c>
      <c r="B68" s="33" t="n">
        <v>1</v>
      </c>
      <c r="C68" s="34" t="inlineStr">
        <is>
          <t>BOTA MOON BOOT ICON WHITE NYLON BOOTS PARA NEVE - TAM.: 3,5/6 (US) E 35/38 (EU) -- 045 4996 7772 7564406150 (F)</t>
        </is>
      </c>
      <c r="D68" s="35" t="n">
        <v>850</v>
      </c>
      <c r="E68" s="35" t="n">
        <v>850</v>
      </c>
      <c r="F68" s="33" t="inlineStr">
        <is>
          <t>65%</t>
        </is>
      </c>
      <c r="G68" s="32" t="inlineStr">
        <is>
          <t>ver no ML</t>
        </is>
      </c>
    </row>
    <row r="69">
      <c r="A69" s="29" t="n">
        <v>59</v>
      </c>
      <c r="B69" s="29" t="n">
        <v>1</v>
      </c>
      <c r="C69" s="30" t="inlineStr">
        <is>
          <t>TENIS VERSACE COUTURE JEANS ESTAMPA FONDO SPEEDTRACK LOGO COUTURE - BRANCO - TAM.: 45 -- 045 4996 7735 4679840340 (F)</t>
        </is>
      </c>
      <c r="D69" s="31" t="n">
        <v>850</v>
      </c>
      <c r="E69" s="31" t="n">
        <v>850</v>
      </c>
      <c r="F69" s="29" t="inlineStr">
        <is>
          <t>60%</t>
        </is>
      </c>
      <c r="G69" s="32" t="inlineStr">
        <is>
          <t>ver no ML</t>
        </is>
      </c>
    </row>
    <row r="70">
      <c r="A70" s="33" t="n">
        <v>60</v>
      </c>
      <c r="B70" s="33" t="n">
        <v>1</v>
      </c>
      <c r="C70" s="34" t="inlineStr">
        <is>
          <t>BOLSA SEE BY CHLOE BUCKET COM APLICACAO DE ARGOLA - COR: DARK VELVET -- 996 1210 0970 2670490826 (F) (ETIQUETA)</t>
        </is>
      </c>
      <c r="D70" s="35" t="n">
        <v>850</v>
      </c>
      <c r="E70" s="35" t="n">
        <v>850</v>
      </c>
      <c r="F70" s="33" t="inlineStr">
        <is>
          <t>50%</t>
        </is>
      </c>
      <c r="G70" s="32" t="inlineStr">
        <is>
          <t>ver no ML</t>
        </is>
      </c>
    </row>
    <row r="71">
      <c r="A71" s="29" t="n">
        <v>61</v>
      </c>
      <c r="B71" s="29" t="n">
        <v>1</v>
      </c>
      <c r="C71" s="30" t="inlineStr">
        <is>
          <t>BOTA CASADEI DE CAMURCA COM PLATAFORMA E SALTO 15 - TAM.: 37 -- 996 1207 8076 7239262656 (F)(ETIQUETA)</t>
        </is>
      </c>
      <c r="D71" s="31" t="n">
        <v>800</v>
      </c>
      <c r="E71" s="31" t="n">
        <v>800</v>
      </c>
      <c r="F71" s="29" t="inlineStr">
        <is>
          <t>60%</t>
        </is>
      </c>
      <c r="G71" s="32" t="inlineStr">
        <is>
          <t>ver no ML</t>
        </is>
      </c>
    </row>
    <row r="72">
      <c r="A72" s="33" t="n">
        <v>62</v>
      </c>
      <c r="B72" s="33" t="n">
        <v>1</v>
      </c>
      <c r="C72" s="34" t="inlineStr">
        <is>
          <t>BOLSA EMPORIO ARMANI TOTE BAG C/ ESTAMPA DE LOGO (INCLUI ALCA DE OMBRO C/ LOGO) - COR: NAVY/STONE -- 045 4477 6163 25213///95951 (F)</t>
        </is>
      </c>
      <c r="D72" s="35" t="n">
        <v>800</v>
      </c>
      <c r="E72" s="35" t="n">
        <v>800</v>
      </c>
      <c r="F72" s="33" t="inlineStr">
        <is>
          <t>55%</t>
        </is>
      </c>
      <c r="G72" s="32" t="inlineStr">
        <is>
          <t>ver no ML</t>
        </is>
      </c>
    </row>
    <row r="73">
      <c r="A73" s="29" t="n">
        <v>63</v>
      </c>
      <c r="B73" s="29" t="n">
        <v>1</v>
      </c>
      <c r="C73" s="30" t="inlineStr">
        <is>
          <t>BOLSA FEMININA EMPORIO ARMANI 996 1238 0642 6697357295</t>
        </is>
      </c>
      <c r="D73" s="31" t="n">
        <v>800</v>
      </c>
      <c r="E73" s="31" t="n">
        <v>800</v>
      </c>
      <c r="F73" s="29" t="inlineStr">
        <is>
          <t>65%</t>
        </is>
      </c>
      <c r="G73" s="32" t="inlineStr">
        <is>
          <t>ver no ML</t>
        </is>
      </c>
    </row>
    <row r="74">
      <c r="A74" s="33" t="n">
        <v>64</v>
      </c>
      <c r="B74" s="33" t="n">
        <v>1</v>
      </c>
      <c r="C74" s="34" t="inlineStr">
        <is>
          <t>CINTO DE COURO SALVATORE FERRAGAMO PRETO COM PLACA DOURADA DE LOGO - TAM.: 85 -- 045 4152 8723 4514309936 (F)</t>
        </is>
      </c>
      <c r="D74" s="35" t="n">
        <v>800</v>
      </c>
      <c r="E74" s="35" t="n">
        <v>800</v>
      </c>
      <c r="F74" s="33" t="inlineStr">
        <is>
          <t>65%</t>
        </is>
      </c>
      <c r="G74" s="32" t="inlineStr">
        <is>
          <t>ver no ML</t>
        </is>
      </c>
    </row>
    <row r="75">
      <c r="A75" s="29" t="n">
        <v>65</v>
      </c>
      <c r="B75" s="29" t="n">
        <v>1</v>
      </c>
      <c r="C75" s="30" t="inlineStr">
        <is>
          <t>BOLSA EMPORIO ARMANI BOLSA TOTE EM COURO COM PINGENTE DE LOGO - COR: PRETA -- 045 4152 8723 4121241961 (F)</t>
        </is>
      </c>
      <c r="D75" s="31" t="n">
        <v>750</v>
      </c>
      <c r="E75" s="31" t="n">
        <v>750</v>
      </c>
      <c r="F75" s="29" t="inlineStr">
        <is>
          <t>55%</t>
        </is>
      </c>
      <c r="G75" s="32" t="inlineStr">
        <is>
          <t>ver no ML</t>
        </is>
      </c>
    </row>
    <row r="76">
      <c r="A76" s="33" t="n">
        <v>66</v>
      </c>
      <c r="B76" s="33" t="n">
        <v>1</v>
      </c>
      <c r="C76" s="34" t="inlineStr">
        <is>
          <t>BOTA MOON BOOT PROTECHT HI-TOP MONACO BLACK - TAM.: 8,5 (US) -- 045 4996 7643 9695180854 (F)</t>
        </is>
      </c>
      <c r="D76" s="35" t="n">
        <v>700</v>
      </c>
      <c r="E76" s="35" t="n">
        <v>700</v>
      </c>
      <c r="F76" s="33" t="inlineStr">
        <is>
          <t>50%</t>
        </is>
      </c>
      <c r="G76" s="32" t="inlineStr">
        <is>
          <t>ver no ML</t>
        </is>
      </c>
    </row>
    <row r="77">
      <c r="A77" s="29" t="n">
        <v>67</v>
      </c>
      <c r="B77" s="29" t="n">
        <v>1</v>
      </c>
      <c r="C77" s="30" t="inlineStr">
        <is>
          <t>BOLSA TORY BURCH 996 1209 8376 2880221433</t>
        </is>
      </c>
      <c r="D77" s="31" t="n">
        <v>700</v>
      </c>
      <c r="E77" s="31" t="n">
        <v>700</v>
      </c>
      <c r="F77" s="29" t="inlineStr">
        <is>
          <t>45%</t>
        </is>
      </c>
      <c r="G77" s="32" t="inlineStr">
        <is>
          <t>ver no ML</t>
        </is>
      </c>
    </row>
    <row r="78">
      <c r="A78" s="33" t="n">
        <v>68</v>
      </c>
      <c r="B78" s="33" t="n">
        <v>1</v>
      </c>
      <c r="C78" s="34" t="inlineStr">
        <is>
          <t>TENIS MASCULINO TAM 42 PREMIATA 045 4996 8144 1621278455</t>
        </is>
      </c>
      <c r="D78" s="35" t="n">
        <v>700</v>
      </c>
      <c r="E78" s="35" t="n">
        <v>700</v>
      </c>
      <c r="F78" s="33" t="inlineStr">
        <is>
          <t>60%</t>
        </is>
      </c>
      <c r="G78" s="32" t="inlineStr">
        <is>
          <t>ver no ML</t>
        </is>
      </c>
    </row>
    <row r="79">
      <c r="A79" s="29" t="n">
        <v>69</v>
      </c>
      <c r="B79" s="29" t="n">
        <v>1</v>
      </c>
      <c r="C79" s="30" t="inlineStr">
        <is>
          <t>TENIS FEMININO TAM 36 MIZZUNO SORAYAMA 045 4989 1096 2568270493</t>
        </is>
      </c>
      <c r="D79" s="31" t="n">
        <v>700</v>
      </c>
      <c r="E79" s="31" t="n">
        <v>700</v>
      </c>
      <c r="F79" s="29" t="inlineStr">
        <is>
          <t>50%</t>
        </is>
      </c>
      <c r="G79" s="32" t="inlineStr">
        <is>
          <t>ver no ML</t>
        </is>
      </c>
    </row>
    <row r="80">
      <c r="A80" s="33" t="n">
        <v>70</v>
      </c>
      <c r="B80" s="33" t="n">
        <v>1</v>
      </c>
      <c r="C80" s="34" t="inlineStr">
        <is>
          <t>CHINELO VERSACE FLAT SLIDE BRANCO COM PLACA DOURADA MEDUSA - TAM.: 38,5 -- 996 1210 0944 5194664296 (F)</t>
        </is>
      </c>
      <c r="D80" s="35" t="n">
        <v>650</v>
      </c>
      <c r="E80" s="35" t="n">
        <v>650</v>
      </c>
      <c r="F80" s="33" t="inlineStr">
        <is>
          <t>60%</t>
        </is>
      </c>
      <c r="G80" s="32" t="inlineStr">
        <is>
          <t>ver no ML</t>
        </is>
      </c>
    </row>
    <row r="81">
      <c r="A81" s="29" t="n">
        <v>71</v>
      </c>
      <c r="B81" s="29" t="n">
        <v>1</v>
      </c>
      <c r="C81" s="30" t="inlineStr">
        <is>
          <t>SAPATO SANDRO MOCASSIM IRON COM SOLADO CHUNKY - COR: MARROM - TAM.: 40 (EU) - COURO -- 045 4947 5871 2879083933 (F)</t>
        </is>
      </c>
      <c r="D81" s="31" t="n">
        <v>650</v>
      </c>
      <c r="E81" s="31" t="n">
        <v>650</v>
      </c>
      <c r="F81" s="29" t="inlineStr">
        <is>
          <t>50%</t>
        </is>
      </c>
      <c r="G81" s="32" t="inlineStr">
        <is>
          <t>ver no ML</t>
        </is>
      </c>
    </row>
    <row r="82">
      <c r="A82" s="33" t="n">
        <v>72</v>
      </c>
      <c r="B82" s="33" t="n">
        <v>1</v>
      </c>
      <c r="C82" s="34" t="inlineStr">
        <is>
          <t>BOLSA MICHAEL KORS SUSAN - TAM.: M - PRETA - QUILTED LEATHER SHOULDER BAG -- 996 1230 6626 2531369680 (F)</t>
        </is>
      </c>
      <c r="D82" s="35" t="n">
        <v>650</v>
      </c>
      <c r="E82" s="35" t="n">
        <v>650</v>
      </c>
      <c r="F82" s="33" t="inlineStr">
        <is>
          <t>65%</t>
        </is>
      </c>
      <c r="G82" s="32" t="inlineStr">
        <is>
          <t>ver no ML</t>
        </is>
      </c>
    </row>
    <row r="83">
      <c r="A83" s="29" t="n">
        <v>73</v>
      </c>
      <c r="B83" s="29" t="n">
        <v>1</v>
      </c>
      <c r="C83" s="30" t="inlineStr">
        <is>
          <t>TENIS DIESEL CANO BAIXO S-TYCHE COM RECORTES - PRETO COM BRANCO - TAM.: 9 (US) -- 045 4996 8634 1933949161 (F)</t>
        </is>
      </c>
      <c r="D83" s="31" t="n">
        <v>650</v>
      </c>
      <c r="E83" s="31" t="n">
        <v>650</v>
      </c>
      <c r="F83" s="29" t="inlineStr">
        <is>
          <t>65%</t>
        </is>
      </c>
      <c r="G83" s="32" t="inlineStr">
        <is>
          <t>ver no ML</t>
        </is>
      </c>
    </row>
    <row r="84">
      <c r="A84" s="33" t="n">
        <v>74</v>
      </c>
      <c r="B84" s="33" t="n">
        <v>1</v>
      </c>
      <c r="C84" s="34" t="inlineStr">
        <is>
          <t>BOLSA FURLA 996 1230 3410 2602089630</t>
        </is>
      </c>
      <c r="D84" s="35" t="n">
        <v>600</v>
      </c>
      <c r="E84" s="35" t="n">
        <v>600</v>
      </c>
      <c r="F84" s="33" t="inlineStr">
        <is>
          <t>55%</t>
        </is>
      </c>
      <c r="G84" s="32" t="inlineStr">
        <is>
          <t>ver no ML</t>
        </is>
      </c>
    </row>
    <row r="85">
      <c r="A85" s="29" t="n">
        <v>75</v>
      </c>
      <c r="B85" s="29" t="n">
        <v>1</v>
      </c>
      <c r="C85" s="30" t="inlineStr">
        <is>
          <t>TENIS MASCULINO ARMANI DE COURO TAM 40 996 1210 1036 2708700400</t>
        </is>
      </c>
      <c r="D85" s="31" t="n">
        <v>600</v>
      </c>
      <c r="E85" s="31" t="n">
        <v>600</v>
      </c>
      <c r="F85" s="29" t="inlineStr">
        <is>
          <t>60%</t>
        </is>
      </c>
      <c r="G85" s="32" t="inlineStr">
        <is>
          <t>ver no ML</t>
        </is>
      </c>
    </row>
    <row r="86">
      <c r="A86" s="33" t="n">
        <v>76</v>
      </c>
      <c r="B86" s="33" t="n">
        <v>1</v>
      </c>
      <c r="C86" s="34" t="inlineStr">
        <is>
          <t>BOLSA LE PLIAGE 045 4996 7735 6186672516</t>
        </is>
      </c>
      <c r="D86" s="35" t="n">
        <v>600</v>
      </c>
      <c r="E86" s="35" t="n">
        <v>600</v>
      </c>
      <c r="F86" s="33" t="inlineStr">
        <is>
          <t>55%</t>
        </is>
      </c>
      <c r="G86" s="32" t="inlineStr">
        <is>
          <t>ver no ML</t>
        </is>
      </c>
    </row>
    <row r="87">
      <c r="A87" s="29" t="n">
        <v>77</v>
      </c>
      <c r="B87" s="29" t="n">
        <v>1</v>
      </c>
      <c r="C87" s="30" t="inlineStr">
        <is>
          <t>BOLSA KARL LAGERFELD BOLSA DE OMBRO K -- 045 4152 8723 2820176881 (F)</t>
        </is>
      </c>
      <c r="D87" s="31" t="n">
        <v>600</v>
      </c>
      <c r="E87" s="31" t="n">
        <v>600</v>
      </c>
      <c r="F87" s="29" t="inlineStr">
        <is>
          <t>60%</t>
        </is>
      </c>
      <c r="G87" s="32" t="inlineStr">
        <is>
          <t>ver no ML</t>
        </is>
      </c>
    </row>
    <row r="88">
      <c r="A88" s="33" t="n">
        <v>78</v>
      </c>
      <c r="B88" s="33" t="n">
        <v>1</v>
      </c>
      <c r="C88" s="34" t="inlineStr">
        <is>
          <t>CHINELO ALEXANDER WANG ANYA COM APLICACAO DE CRISTAL - TAM.: 38,5 - COR: PRETA -- 045 4665 4635 7213324473 (F) (NOTA)</t>
        </is>
      </c>
      <c r="D88" s="35" t="n">
        <v>600</v>
      </c>
      <c r="E88" s="35" t="n">
        <v>600</v>
      </c>
      <c r="F88" s="33" t="inlineStr">
        <is>
          <t>55%</t>
        </is>
      </c>
      <c r="G88" s="32" t="inlineStr">
        <is>
          <t>ver no ML</t>
        </is>
      </c>
    </row>
    <row r="89">
      <c r="A89" s="29" t="n">
        <v>79</v>
      </c>
      <c r="B89" s="29" t="n">
        <v>1</v>
      </c>
      <c r="C89" s="30" t="inlineStr">
        <is>
          <t>TENIS DIESEL CANO BAIXO S-SERENDIPITY - CORES: APRICOT E VERDE - TAM.: 10,5 (US) -- 045 4478 0396 9662432404 (F)</t>
        </is>
      </c>
      <c r="D89" s="31" t="n">
        <v>550</v>
      </c>
      <c r="E89" s="31" t="n">
        <v>550</v>
      </c>
      <c r="F89" s="29" t="inlineStr">
        <is>
          <t>65%</t>
        </is>
      </c>
      <c r="G89" s="32" t="inlineStr">
        <is>
          <t>ver no ML</t>
        </is>
      </c>
    </row>
    <row r="90">
      <c r="A90" s="33" t="n">
        <v>80</v>
      </c>
      <c r="B90" s="33" t="n">
        <v>1</v>
      </c>
      <c r="C90" s="34" t="inlineStr">
        <is>
          <t>BOLSA KATE SPADE 045 4478 1133 4095394450</t>
        </is>
      </c>
      <c r="D90" s="35" t="n">
        <v>550</v>
      </c>
      <c r="E90" s="35" t="n">
        <v>550</v>
      </c>
      <c r="F90" s="33" t="inlineStr">
        <is>
          <t>70%</t>
        </is>
      </c>
      <c r="G90" s="32" t="inlineStr">
        <is>
          <t>ver no ML</t>
        </is>
      </c>
    </row>
    <row r="91">
      <c r="A91" s="29" t="n">
        <v>81</v>
      </c>
      <c r="B91" s="29" t="n">
        <v>2</v>
      </c>
      <c r="C91" s="30" t="inlineStr">
        <is>
          <t>CHUTEIRA DE FUTEBOL ADIDAS TAM 42 X SPEEDPORTAL.1 FG 045 4996 7455 2739642345</t>
        </is>
      </c>
      <c r="D91" s="31" t="n">
        <v>250</v>
      </c>
      <c r="E91" s="31" t="n">
        <v>500</v>
      </c>
      <c r="F91" s="29" t="inlineStr">
        <is>
          <t>65%</t>
        </is>
      </c>
      <c r="G91" s="32" t="inlineStr">
        <is>
          <t>ver no ML</t>
        </is>
      </c>
    </row>
    <row r="92">
      <c r="A92" s="33" t="n">
        <v>82</v>
      </c>
      <c r="B92" s="33" t="n">
        <v>1</v>
      </c>
      <c r="C92" s="34" t="inlineStr">
        <is>
          <t>BOLSA KURT GEIGER LONDON CROCHET KENSINGTON CROSS BODY BAG 996 1221 2885 1576812996</t>
        </is>
      </c>
      <c r="D92" s="35" t="n">
        <v>500</v>
      </c>
      <c r="E92" s="35" t="n">
        <v>500</v>
      </c>
      <c r="F92" s="33" t="inlineStr">
        <is>
          <t>65%</t>
        </is>
      </c>
      <c r="G92" s="32" t="inlineStr">
        <is>
          <t>ver no ML</t>
        </is>
      </c>
    </row>
    <row r="93">
      <c r="A93" s="29" t="n">
        <v>83</v>
      </c>
      <c r="B93" s="29" t="n">
        <v>1</v>
      </c>
      <c r="C93" s="30" t="inlineStr">
        <is>
          <t>TENIS NEW BALANCE 580 CANO BAIXO BEEF AND BROCCOLI - TAM.: 43 -- 045 4996 7960 7715804471 (F)</t>
        </is>
      </c>
      <c r="D93" s="31" t="n">
        <v>500</v>
      </c>
      <c r="E93" s="31" t="n">
        <v>500</v>
      </c>
      <c r="F93" s="29" t="inlineStr">
        <is>
          <t>75%</t>
        </is>
      </c>
      <c r="G93" s="32" t="inlineStr">
        <is>
          <t>ver no ML</t>
        </is>
      </c>
    </row>
    <row r="94">
      <c r="A94" s="33" t="n">
        <v>84</v>
      </c>
      <c r="B94" s="33" t="n">
        <v>1</v>
      </c>
      <c r="C94" s="34" t="inlineStr">
        <is>
          <t>BOTA DE NEVE ASH MONTAIN TAM 41 045 4996 8634 2213756495</t>
        </is>
      </c>
      <c r="D94" s="35" t="n">
        <v>500</v>
      </c>
      <c r="E94" s="35" t="n">
        <v>500</v>
      </c>
      <c r="F94" s="33" t="inlineStr">
        <is>
          <t>50%</t>
        </is>
      </c>
      <c r="G94" s="32" t="inlineStr">
        <is>
          <t>ver no ML</t>
        </is>
      </c>
    </row>
    <row r="95">
      <c r="A95" s="29" t="n">
        <v>85</v>
      </c>
      <c r="B95" s="29" t="n">
        <v>1</v>
      </c>
      <c r="C95" s="30" t="inlineStr">
        <is>
          <t>BOLSA FEMININA STAND STUDIO 045 4996 8634 4148603174</t>
        </is>
      </c>
      <c r="D95" s="31" t="n">
        <v>500</v>
      </c>
      <c r="E95" s="31" t="n">
        <v>500</v>
      </c>
      <c r="F95" s="29" t="inlineStr">
        <is>
          <t>50%</t>
        </is>
      </c>
      <c r="G95" s="32" t="inlineStr">
        <is>
          <t>ver no ML</t>
        </is>
      </c>
    </row>
    <row r="96">
      <c r="A96" s="33" t="n">
        <v>86</v>
      </c>
      <c r="B96" s="33" t="n">
        <v>1</v>
      </c>
      <c r="C96" s="34" t="inlineStr">
        <is>
          <t>BOLSA LONGCHAMP LE PLIAGE BOLSA TOTE - TAM.: M - COR: NAVY -- 045 4996 7772 2928249284 (F)</t>
        </is>
      </c>
      <c r="D96" s="35" t="n">
        <v>480</v>
      </c>
      <c r="E96" s="35" t="n">
        <v>480</v>
      </c>
      <c r="F96" s="33" t="inlineStr">
        <is>
          <t>65%</t>
        </is>
      </c>
      <c r="G96" s="32" t="inlineStr">
        <is>
          <t>ver no ML</t>
        </is>
      </c>
    </row>
    <row r="97">
      <c r="A97" s="29" t="n">
        <v>87</v>
      </c>
      <c r="B97" s="29" t="n">
        <v>1</v>
      </c>
      <c r="C97" s="30" t="inlineStr">
        <is>
          <t>BOLSA LONGCHAMP LE PLIAGE BOLSA TOTE - TAM.: M - COR: NAVY -- 045 4996 7772 3756865302 (F)</t>
        </is>
      </c>
      <c r="D97" s="31" t="n">
        <v>480</v>
      </c>
      <c r="E97" s="31" t="n">
        <v>480</v>
      </c>
      <c r="F97" s="29" t="inlineStr">
        <is>
          <t>65%</t>
        </is>
      </c>
      <c r="G97" s="32" t="inlineStr">
        <is>
          <t>ver no ML</t>
        </is>
      </c>
    </row>
    <row r="98">
      <c r="A98" s="33" t="n">
        <v>88</v>
      </c>
      <c r="B98" s="33" t="n">
        <v>1</v>
      </c>
      <c r="C98" s="34" t="inlineStr">
        <is>
          <t>BOLSA LONGCHAMP LE PLIAGE BOLSA TOTE - TAM.: M - COR: NAVY -- 045 4996 7772 3756790682 (F)</t>
        </is>
      </c>
      <c r="D98" s="35" t="n">
        <v>480</v>
      </c>
      <c r="E98" s="35" t="n">
        <v>480</v>
      </c>
      <c r="F98" s="33" t="inlineStr">
        <is>
          <t>65%</t>
        </is>
      </c>
      <c r="G98" s="32" t="inlineStr">
        <is>
          <t>ver no ML</t>
        </is>
      </c>
    </row>
    <row r="99">
      <c r="A99" s="29" t="n">
        <v>89</v>
      </c>
      <c r="B99" s="29" t="n">
        <v>1</v>
      </c>
      <c r="C99" s="30" t="inlineStr">
        <is>
          <t>BOLSA LONGCHAMP MEDIUM LE PILAGE TOTE BAG 045 4996 7584 9802816575</t>
        </is>
      </c>
      <c r="D99" s="31" t="n">
        <v>480</v>
      </c>
      <c r="E99" s="31" t="n">
        <v>480</v>
      </c>
      <c r="F99" s="29" t="inlineStr">
        <is>
          <t>65%</t>
        </is>
      </c>
      <c r="G99" s="32" t="inlineStr">
        <is>
          <t>ver no ML</t>
        </is>
      </c>
    </row>
    <row r="100">
      <c r="A100" s="33" t="n">
        <v>90</v>
      </c>
      <c r="B100" s="33" t="n">
        <v>1</v>
      </c>
      <c r="C100" s="34" t="inlineStr">
        <is>
          <t>TENIS SOULLAND X LI-NING FURIOS RIDER - STABILITY RUNNING SHOES - COR: PRETO - TAM.: 6 (US) -- 996 1210 1272 4328938412///(F)</t>
        </is>
      </c>
      <c r="D100" s="35" t="n">
        <v>450</v>
      </c>
      <c r="E100" s="35" t="n">
        <v>450</v>
      </c>
      <c r="F100" s="33" t="inlineStr">
        <is>
          <t>50%</t>
        </is>
      </c>
      <c r="G100" s="32" t="inlineStr">
        <is>
          <t>ver no ML</t>
        </is>
      </c>
    </row>
    <row r="101">
      <c r="A101" s="29" t="n">
        <v>91</v>
      </c>
      <c r="B101" s="29" t="n">
        <v>1</v>
      </c>
      <c r="C101" s="30" t="inlineStr">
        <is>
          <t>BOLSA LONGCHAMP LE PLIAGE - TAM.: L - COR: PAPER - REF.: L1899089P71 -- 045 4996 7735 2692722572 (F)</t>
        </is>
      </c>
      <c r="D101" s="31" t="n">
        <v>450</v>
      </c>
      <c r="E101" s="31" t="n">
        <v>450</v>
      </c>
      <c r="F101" s="29" t="inlineStr">
        <is>
          <t>65%</t>
        </is>
      </c>
      <c r="G101" s="32" t="inlineStr">
        <is>
          <t>ver no ML</t>
        </is>
      </c>
    </row>
    <row r="102">
      <c r="A102" s="33" t="n">
        <v>92</v>
      </c>
      <c r="B102" s="33" t="n">
        <v>1</v>
      </c>
      <c r="C102" s="34" t="inlineStr">
        <is>
          <t>BOLSA LONGCHAMP LE PLIAGE BOLSA TOTE - TAM.: L - COR: PRETA -- 045 4996 7702 6356322000 (F)</t>
        </is>
      </c>
      <c r="D102" s="35" t="n">
        <v>450</v>
      </c>
      <c r="E102" s="35" t="n">
        <v>450</v>
      </c>
      <c r="F102" s="33" t="inlineStr">
        <is>
          <t>70%</t>
        </is>
      </c>
      <c r="G102" s="32" t="inlineStr">
        <is>
          <t>ver no ML</t>
        </is>
      </c>
    </row>
    <row r="103">
      <c r="A103" s="29" t="n">
        <v>93</v>
      </c>
      <c r="B103" s="29" t="n">
        <v>1</v>
      </c>
      <c r="C103" s="30" t="inlineStr">
        <is>
          <t>BOLSA TIRA COLO PINKO 045 4996 8634 6769864102</t>
        </is>
      </c>
      <c r="D103" s="31" t="n">
        <v>450</v>
      </c>
      <c r="E103" s="31" t="n">
        <v>450</v>
      </c>
      <c r="F103" s="29" t="inlineStr">
        <is>
          <t>55%</t>
        </is>
      </c>
      <c r="G103" s="32" t="inlineStr">
        <is>
          <t>ver no ML</t>
        </is>
      </c>
    </row>
    <row r="104">
      <c r="A104" s="33" t="n">
        <v>94</v>
      </c>
      <c r="B104" s="33" t="n">
        <v>1</v>
      </c>
      <c r="C104" s="34" t="inlineStr">
        <is>
          <t>BOTA MOON BOOT ICON LOW 2 - PRETA - TAM.: 4,5/6 (US) -- 045 4988 9965 2760003890 (F)</t>
        </is>
      </c>
      <c r="D104" s="35" t="n">
        <v>450</v>
      </c>
      <c r="E104" s="35" t="n">
        <v>450</v>
      </c>
      <c r="F104" s="33" t="inlineStr">
        <is>
          <t>55%</t>
        </is>
      </c>
      <c r="G104" s="32" t="inlineStr">
        <is>
          <t>ver no ML</t>
        </is>
      </c>
    </row>
    <row r="105">
      <c r="A105" s="29" t="n">
        <v>95</v>
      </c>
      <c r="B105" s="29" t="n">
        <v>1</v>
      </c>
      <c r="C105" s="30" t="inlineStr">
        <is>
          <t>CALCADOS MOCHINO TAM 36 045 4996 8752 6990741855</t>
        </is>
      </c>
      <c r="D105" s="31" t="n">
        <v>450</v>
      </c>
      <c r="E105" s="31" t="n">
        <v>450</v>
      </c>
      <c r="F105" s="29" t="inlineStr">
        <is>
          <t>55%</t>
        </is>
      </c>
      <c r="G105" s="32" t="inlineStr">
        <is>
          <t>ver no ML</t>
        </is>
      </c>
    </row>
    <row r="106">
      <c r="A106" s="33" t="n">
        <v>96</v>
      </c>
      <c r="B106" s="33" t="n">
        <v>1</v>
      </c>
      <c r="C106" s="34" t="inlineStr">
        <is>
          <t>BOLSA TIRA COLO DE FESTA ELLEME 996 1221 3062 1216202142</t>
        </is>
      </c>
      <c r="D106" s="35" t="n">
        <v>450</v>
      </c>
      <c r="E106" s="35" t="n">
        <v>450</v>
      </c>
      <c r="F106" s="33" t="inlineStr">
        <is>
          <t>45%</t>
        </is>
      </c>
      <c r="G106" s="32" t="inlineStr">
        <is>
          <t>ver no ML</t>
        </is>
      </c>
    </row>
    <row r="107">
      <c r="A107" s="29" t="n">
        <v>97</v>
      </c>
      <c r="B107" s="29" t="n">
        <v>1</v>
      </c>
      <c r="C107" s="30" t="inlineStr">
        <is>
          <t>CALCADOS BOTA DR MARTENS RETORNO DE EXPORTACAO 045 4996 8144 2636459066</t>
        </is>
      </c>
      <c r="D107" s="31" t="n">
        <v>400</v>
      </c>
      <c r="E107" s="31" t="n">
        <v>400</v>
      </c>
      <c r="F107" s="29" t="inlineStr">
        <is>
          <t>65%</t>
        </is>
      </c>
      <c r="G107" s="32" t="inlineStr">
        <is>
          <t>ver no ML</t>
        </is>
      </c>
    </row>
    <row r="108">
      <c r="A108" s="33" t="n">
        <v>98</v>
      </c>
      <c r="B108" s="33" t="n">
        <v>1</v>
      </c>
      <c r="C108" s="34" t="inlineStr">
        <is>
          <t>BOLSA LOVE MOSCHINO DE OMBRO COM LOGO - MATELASSE ACABAMENTO DENIM -- 996 1209 8376 6500298335 (F) (ETIQUETA)</t>
        </is>
      </c>
      <c r="D108" s="35" t="n">
        <v>400</v>
      </c>
      <c r="E108" s="35" t="n">
        <v>400</v>
      </c>
      <c r="F108" s="33" t="inlineStr">
        <is>
          <t>65%</t>
        </is>
      </c>
      <c r="G108" s="32" t="inlineStr">
        <is>
          <t>ver no ML</t>
        </is>
      </c>
    </row>
    <row r="109">
      <c r="A109" s="29" t="n">
        <v>99</v>
      </c>
      <c r="B109" s="29" t="n">
        <v>1</v>
      </c>
      <c r="C109" s="30" t="inlineStr">
        <is>
          <t>BOTA DR MATENS FEMININA TAM 41 045 4478 1133 9681507872</t>
        </is>
      </c>
      <c r="D109" s="31" t="n">
        <v>400</v>
      </c>
      <c r="E109" s="31" t="n">
        <v>400</v>
      </c>
      <c r="F109" s="29" t="inlineStr">
        <is>
          <t>65%</t>
        </is>
      </c>
      <c r="G109" s="32" t="inlineStr">
        <is>
          <t>ver no ML</t>
        </is>
      </c>
    </row>
    <row r="110">
      <c r="A110" s="33" t="n">
        <v>100</v>
      </c>
      <c r="B110" s="33" t="n">
        <v>1</v>
      </c>
      <c r="C110" s="34" t="inlineStr">
        <is>
          <t>SAPATO COTURNO KARL LAGERFELD TAM 38 045 4989 0945 7729427812</t>
        </is>
      </c>
      <c r="D110" s="35" t="n">
        <v>400</v>
      </c>
      <c r="E110" s="35" t="n">
        <v>400</v>
      </c>
      <c r="F110" s="33" t="inlineStr">
        <is>
          <t>50%</t>
        </is>
      </c>
      <c r="G110" s="32" t="inlineStr">
        <is>
          <t>ver no ML</t>
        </is>
      </c>
    </row>
    <row r="111">
      <c r="A111" s="29" t="n">
        <v>101</v>
      </c>
      <c r="B111" s="29" t="n">
        <v>1</v>
      </c>
      <c r="C111" s="30" t="inlineStr">
        <is>
          <t>VESTUARIO FEMININO ALICE OLIVIA CHEMISE DREEMA - PRETA - TAM.: M -- 996 1230 6626 2983141173 (F)</t>
        </is>
      </c>
      <c r="D111" s="31" t="n">
        <v>400</v>
      </c>
      <c r="E111" s="31" t="n">
        <v>400</v>
      </c>
      <c r="F111" s="29" t="inlineStr">
        <is>
          <t>50%</t>
        </is>
      </c>
      <c r="G111" s="32" t="inlineStr">
        <is>
          <t>ver no ML</t>
        </is>
      </c>
    </row>
    <row r="112">
      <c r="A112" s="33" t="n">
        <v>102</v>
      </c>
      <c r="B112" s="33" t="n">
        <v>1</v>
      </c>
      <c r="C112" s="34" t="inlineStr">
        <is>
          <t>CALCADOS BIRKENSTOCK BOSTON VL CLOGS (MULE) - COR: BEIGE - TAM.: 39 -- 045 4996 8424 1970109142 (F) (ETIQUETA)</t>
        </is>
      </c>
      <c r="D112" s="35" t="n">
        <v>400</v>
      </c>
      <c r="E112" s="35" t="n">
        <v>400</v>
      </c>
      <c r="F112" s="33" t="inlineStr">
        <is>
          <t>65%</t>
        </is>
      </c>
      <c r="G112" s="32" t="inlineStr">
        <is>
          <t>ver no ML</t>
        </is>
      </c>
    </row>
    <row r="113">
      <c r="A113" s="29" t="n">
        <v>103</v>
      </c>
      <c r="B113" s="29" t="n">
        <v>1</v>
      </c>
      <c r="C113" s="30" t="inlineStr">
        <is>
          <t>TENIS SALOMON TAM 44 045 4996 8936 7170196924</t>
        </is>
      </c>
      <c r="D113" s="31" t="n">
        <v>400</v>
      </c>
      <c r="E113" s="31" t="n">
        <v>400</v>
      </c>
      <c r="F113" s="29" t="inlineStr">
        <is>
          <t>65%</t>
        </is>
      </c>
      <c r="G113" s="32" t="inlineStr">
        <is>
          <t>ver no ML</t>
        </is>
      </c>
    </row>
    <row r="114">
      <c r="A114" s="33" t="n">
        <v>104</v>
      </c>
      <c r="B114" s="33" t="n">
        <v>1</v>
      </c>
      <c r="C114" s="34" t="inlineStr">
        <is>
          <t>TENIS ARMANI EXCHANGE CANO BAIXO COM LOGO BORDADO - CORES: OFF-WHITE E BEIGE - TAM.: 11 (US) -- 045 4720 5723 9551945454///(F)</t>
        </is>
      </c>
      <c r="D114" s="35" t="n">
        <v>350</v>
      </c>
      <c r="E114" s="35" t="n">
        <v>350</v>
      </c>
      <c r="F114" s="33" t="inlineStr">
        <is>
          <t>55%</t>
        </is>
      </c>
      <c r="G114" s="32" t="inlineStr">
        <is>
          <t>ver no ML</t>
        </is>
      </c>
    </row>
    <row r="115">
      <c r="A115" s="29" t="n">
        <v>105</v>
      </c>
      <c r="B115" s="29" t="n">
        <v>1</v>
      </c>
      <c r="C115" s="30" t="inlineStr">
        <is>
          <t>BOLSA KARL LAGERFELD 996 1209 8376 5574967495</t>
        </is>
      </c>
      <c r="D115" s="31" t="n">
        <v>350</v>
      </c>
      <c r="E115" s="31" t="n">
        <v>350</v>
      </c>
      <c r="F115" s="29" t="inlineStr">
        <is>
          <t>65%</t>
        </is>
      </c>
      <c r="G115" s="32" t="inlineStr">
        <is>
          <t>ver no ML</t>
        </is>
      </c>
    </row>
    <row r="116">
      <c r="A116" s="33" t="n">
        <v>106</v>
      </c>
      <c r="B116" s="33" t="n">
        <v>1</v>
      </c>
      <c r="C116" s="34" t="inlineStr">
        <is>
          <t>TENIS DIESEL CANO BAIXO COM PATCH DE LOGO LATERAL - BRANCO - TAM.: 10,5 (US) -- 045 4478 0396 9662432404 (F)</t>
        </is>
      </c>
      <c r="D116" s="35" t="n">
        <v>350</v>
      </c>
      <c r="E116" s="35" t="n">
        <v>350</v>
      </c>
      <c r="F116" s="33" t="inlineStr">
        <is>
          <t>55%</t>
        </is>
      </c>
      <c r="G116" s="32" t="inlineStr">
        <is>
          <t>ver no ML</t>
        </is>
      </c>
    </row>
    <row r="117">
      <c r="A117" s="29" t="n">
        <v>107</v>
      </c>
      <c r="B117" s="29" t="n">
        <v>1</v>
      </c>
      <c r="C117" s="30" t="inlineStr">
        <is>
          <t>TENIS NIKE AIR FORCE 1 07 PRETO E BRANCO - TAM.: 7 (US MASC) / 8,5 (US FEM) -- 045 4996 7735 7857867625 (F)</t>
        </is>
      </c>
      <c r="D117" s="31" t="n">
        <v>350</v>
      </c>
      <c r="E117" s="31" t="n">
        <v>350</v>
      </c>
      <c r="F117" s="29" t="inlineStr">
        <is>
          <t>60%</t>
        </is>
      </c>
      <c r="G117" s="32" t="inlineStr">
        <is>
          <t>ver no ML</t>
        </is>
      </c>
    </row>
    <row r="118">
      <c r="A118" s="33" t="n">
        <v>108</v>
      </c>
      <c r="B118" s="33" t="n">
        <v>1</v>
      </c>
      <c r="C118" s="34" t="inlineStr">
        <is>
          <t>TENIS ADIDAS GAZELLE INDOOR - COR: LARANJA - TAM.: 7 (US) -- 996 1230 3266 7517317010 (F) (ETIQUETA)</t>
        </is>
      </c>
      <c r="D118" s="35" t="n">
        <v>350</v>
      </c>
      <c r="E118" s="35" t="n">
        <v>350</v>
      </c>
      <c r="F118" s="33" t="inlineStr">
        <is>
          <t>75%</t>
        </is>
      </c>
      <c r="G118" s="32" t="inlineStr">
        <is>
          <t>ver no ML</t>
        </is>
      </c>
    </row>
    <row r="119">
      <c r="A119" s="29" t="n">
        <v>109</v>
      </c>
      <c r="B119" s="29" t="n">
        <v>1</v>
      </c>
      <c r="C119" s="30" t="inlineStr">
        <is>
          <t>BOLSA KARLS LAGERFELDA 145 0922 8306 7390718414</t>
        </is>
      </c>
      <c r="D119" s="31" t="n">
        <v>350</v>
      </c>
      <c r="E119" s="31" t="n">
        <v>350</v>
      </c>
      <c r="F119" s="29" t="inlineStr">
        <is>
          <t>60%</t>
        </is>
      </c>
      <c r="G119" s="32" t="inlineStr">
        <is>
          <t>ver no ML</t>
        </is>
      </c>
    </row>
    <row r="120">
      <c r="A120" s="33" t="n">
        <v>110</v>
      </c>
      <c r="B120" s="33" t="n">
        <v>1</v>
      </c>
      <c r="C120" s="34" t="inlineStr">
        <is>
          <t>VESTIDO RALPH LAUREN RRL HENLEY COM MANGAS LONGAS - COR: INDIGO - TAM.: 1 -- 996 1230 6626 2152521906 (F)</t>
        </is>
      </c>
      <c r="D120" s="35" t="n">
        <v>350</v>
      </c>
      <c r="E120" s="35" t="n">
        <v>350</v>
      </c>
      <c r="F120" s="33" t="inlineStr">
        <is>
          <t>50%</t>
        </is>
      </c>
      <c r="G120" s="32" t="inlineStr">
        <is>
          <t>ver no ML</t>
        </is>
      </c>
    </row>
    <row r="121">
      <c r="A121" s="29" t="n">
        <v>111</v>
      </c>
      <c r="B121" s="29" t="n">
        <v>1</v>
      </c>
      <c r="C121" s="30" t="inlineStr">
        <is>
          <t>BOLSA DIESEL PEQUENA 996 1240 1745 5551376762</t>
        </is>
      </c>
      <c r="D121" s="31" t="n">
        <v>350</v>
      </c>
      <c r="E121" s="31" t="n">
        <v>350</v>
      </c>
      <c r="F121" s="29" t="inlineStr">
        <is>
          <t>55%</t>
        </is>
      </c>
      <c r="G121" s="32" t="inlineStr">
        <is>
          <t>ver no ML</t>
        </is>
      </c>
    </row>
    <row r="122">
      <c r="A122" s="33" t="n">
        <v>112</v>
      </c>
      <c r="B122" s="33" t="n">
        <v>1</v>
      </c>
      <c r="C122" s="34" t="inlineStr">
        <is>
          <t>BOLSA TIRA COLO MIKAEL KORS 996 1238 0432 1155655922</t>
        </is>
      </c>
      <c r="D122" s="35" t="n">
        <v>350</v>
      </c>
      <c r="E122" s="35" t="n">
        <v>350</v>
      </c>
      <c r="F122" s="33" t="inlineStr">
        <is>
          <t>60%</t>
        </is>
      </c>
      <c r="G122" s="32" t="inlineStr">
        <is>
          <t>ver no ML</t>
        </is>
      </c>
    </row>
    <row r="123">
      <c r="A123" s="29" t="n">
        <v>113</v>
      </c>
      <c r="B123" s="29" t="n">
        <v>1</v>
      </c>
      <c r="C123" s="30" t="inlineStr">
        <is>
          <t>SANDALIA BIRKENSTOCK TAM 39 996 1238 0852 7156609191</t>
        </is>
      </c>
      <c r="D123" s="31" t="n">
        <v>320</v>
      </c>
      <c r="E123" s="31" t="n">
        <v>320</v>
      </c>
      <c r="F123" s="29" t="inlineStr">
        <is>
          <t>60%</t>
        </is>
      </c>
      <c r="G123" s="32" t="inlineStr">
        <is>
          <t>ver no ML</t>
        </is>
      </c>
    </row>
    <row r="124">
      <c r="A124" s="33" t="n">
        <v>114</v>
      </c>
      <c r="B124" s="33" t="n">
        <v>1</v>
      </c>
      <c r="C124" s="34" t="inlineStr">
        <is>
          <t>BOLSA MINI SAINT BARTH 045 4996 8634 8349988846</t>
        </is>
      </c>
      <c r="D124" s="35" t="n">
        <v>300</v>
      </c>
      <c r="E124" s="35" t="n">
        <v>300</v>
      </c>
      <c r="F124" s="33" t="inlineStr">
        <is>
          <t>45%</t>
        </is>
      </c>
      <c r="G124" s="32" t="inlineStr">
        <is>
          <t>ver no ML</t>
        </is>
      </c>
    </row>
    <row r="125">
      <c r="A125" s="29" t="n">
        <v>115</v>
      </c>
      <c r="B125" s="29" t="n">
        <v>1</v>
      </c>
      <c r="C125" s="30" t="inlineStr">
        <is>
          <t>TENIS SCARPA TAM 40 045 4989 0293 2035726560</t>
        </is>
      </c>
      <c r="D125" s="31" t="n">
        <v>300</v>
      </c>
      <c r="E125" s="31" t="n">
        <v>300</v>
      </c>
      <c r="F125" s="29" t="inlineStr">
        <is>
          <t>45%</t>
        </is>
      </c>
      <c r="G125" s="32" t="inlineStr">
        <is>
          <t>ver no ML</t>
        </is>
      </c>
    </row>
    <row r="126">
      <c r="A126" s="33" t="n">
        <v>116</v>
      </c>
      <c r="B126" s="33" t="n">
        <v>1</v>
      </c>
      <c r="C126" s="34" t="inlineStr">
        <is>
          <t>BOLSA TIRA COLO THEMOIRE 996 1240 1745 7810897920</t>
        </is>
      </c>
      <c r="D126" s="35" t="n">
        <v>300</v>
      </c>
      <c r="E126" s="35" t="n">
        <v>300</v>
      </c>
      <c r="F126" s="33" t="inlineStr">
        <is>
          <t>50%</t>
        </is>
      </c>
      <c r="G126" s="32" t="inlineStr">
        <is>
          <t>ver no ML</t>
        </is>
      </c>
    </row>
    <row r="127">
      <c r="A127" s="29" t="n">
        <v>117</v>
      </c>
      <c r="B127" s="29" t="n">
        <v>1</v>
      </c>
      <c r="C127" s="30" t="inlineStr">
        <is>
          <t>BOTA DONSJE SHEARLING ANKLE BOOTS INFANTIL - COR: BEIGE - TAM.: 6 -- 996 1221 1474 3149590592 (F) (ETIQUETA)</t>
        </is>
      </c>
      <c r="D127" s="31" t="n">
        <v>250</v>
      </c>
      <c r="E127" s="31" t="n">
        <v>250</v>
      </c>
      <c r="F127" s="29" t="inlineStr">
        <is>
          <t>50%</t>
        </is>
      </c>
      <c r="G127" s="32" t="inlineStr">
        <is>
          <t>ver no ML</t>
        </is>
      </c>
    </row>
    <row r="128">
      <c r="A128" s="33" t="n">
        <v>118</v>
      </c>
      <c r="B128" s="33" t="n">
        <v>1</v>
      </c>
      <c r="C128" s="34" t="inlineStr">
        <is>
          <t>CHINELO DOLCE &amp; GABBANANA TAM 36 996 1240 1745 5338069284</t>
        </is>
      </c>
      <c r="D128" s="35" t="n">
        <v>200</v>
      </c>
      <c r="E128" s="35" t="n">
        <v>200</v>
      </c>
      <c r="F128" s="33" t="inlineStr">
        <is>
          <t>55%</t>
        </is>
      </c>
      <c r="G128" s="32" t="inlineStr">
        <is>
          <t>ver no ML</t>
        </is>
      </c>
    </row>
    <row r="129">
      <c r="A129" s="29" t="n">
        <v>119</v>
      </c>
      <c r="B129" s="29" t="n">
        <v>1</v>
      </c>
      <c r="C129" s="30" t="inlineStr">
        <is>
          <t>TENIS NIKE TAM 38 996 1240 1745 4819914466</t>
        </is>
      </c>
      <c r="D129" s="31" t="n">
        <v>190</v>
      </c>
      <c r="E129" s="31" t="n">
        <v>190</v>
      </c>
      <c r="F129" s="29" t="inlineStr">
        <is>
          <t>65%</t>
        </is>
      </c>
      <c r="G129" s="32" t="inlineStr">
        <is>
          <t>ver no ML</t>
        </is>
      </c>
    </row>
    <row r="130">
      <c r="A130" s="33" t="n">
        <v>120</v>
      </c>
      <c r="B130" s="33" t="n">
        <v>1</v>
      </c>
      <c r="C130" s="34" t="inlineStr">
        <is>
          <t>TENIS MIZZUNO TAMNHO 39 045 4989 1096 2160224953</t>
        </is>
      </c>
      <c r="D130" s="35" t="n">
        <v>180</v>
      </c>
      <c r="E130" s="35" t="n">
        <v>180</v>
      </c>
      <c r="F130" s="33" t="inlineStr">
        <is>
          <t>45%</t>
        </is>
      </c>
      <c r="G130" s="32" t="inlineStr">
        <is>
          <t>ver no ML</t>
        </is>
      </c>
    </row>
    <row r="131">
      <c r="A131" s="29" t="n">
        <v>121</v>
      </c>
      <c r="B131" s="29" t="n">
        <v>1</v>
      </c>
      <c r="C131" s="30" t="inlineStr">
        <is>
          <t>BOLSA MAISON KITSUNE BOLSA TOTE PALAIS ROYAL COM LOGO - PRETA -- 045 4996 7584 8611381240 (F)</t>
        </is>
      </c>
      <c r="D131" s="31" t="n">
        <v>160</v>
      </c>
      <c r="E131" s="31" t="n">
        <v>160</v>
      </c>
      <c r="F131" s="29" t="inlineStr">
        <is>
          <t>60%</t>
        </is>
      </c>
      <c r="G131" s="32" t="inlineStr">
        <is>
          <t>ver no ML</t>
        </is>
      </c>
    </row>
    <row r="132">
      <c r="A132" s="33" t="n">
        <v>122</v>
      </c>
      <c r="B132" s="33" t="n">
        <v>1</v>
      </c>
      <c r="C132" s="34" t="inlineStr">
        <is>
          <t>CARTEIRA CALVIN KLEIN MUST DOBRAVEL - COR: PRETA -- 145 0935 7390 1116699360 (F)</t>
        </is>
      </c>
      <c r="D132" s="35" t="n">
        <v>150</v>
      </c>
      <c r="E132" s="35" t="n">
        <v>150</v>
      </c>
      <c r="F132" s="33" t="inlineStr">
        <is>
          <t>55%</t>
        </is>
      </c>
      <c r="G132" s="32" t="inlineStr">
        <is>
          <t>ver no ML</t>
        </is>
      </c>
    </row>
    <row r="133">
      <c r="A133" s="29" t="n">
        <v>123</v>
      </c>
      <c r="B133" s="29" t="n">
        <v>1</v>
      </c>
      <c r="C133" s="30" t="inlineStr">
        <is>
          <t>TENIS NIKE RENEW RIDE CANO BAIXO - TAM.: 37,5 -- 045 4996 7702 8364161654 (F)</t>
        </is>
      </c>
      <c r="D133" s="31" t="n">
        <v>150</v>
      </c>
      <c r="E133" s="31" t="n">
        <v>150</v>
      </c>
      <c r="F133" s="29" t="inlineStr">
        <is>
          <t>55%</t>
        </is>
      </c>
      <c r="G133" s="32" t="inlineStr">
        <is>
          <t>ver no ML</t>
        </is>
      </c>
    </row>
    <row r="134">
      <c r="A134" s="33" t="n">
        <v>124</v>
      </c>
      <c r="B134" s="33" t="n">
        <v>1</v>
      </c>
      <c r="C134" s="34" t="inlineStr">
        <is>
          <t>CHAPEU DE COURO SERTANEJO FEMININO VAN PALMA 996 1238 0432 4277802896</t>
        </is>
      </c>
      <c r="D134" s="35" t="n">
        <v>150</v>
      </c>
      <c r="E134" s="35" t="n">
        <v>150</v>
      </c>
      <c r="F134" s="33" t="inlineStr">
        <is>
          <t>35%</t>
        </is>
      </c>
      <c r="G134" s="32" t="inlineStr">
        <is>
          <t>ver no ML</t>
        </is>
      </c>
    </row>
    <row r="135">
      <c r="A135" s="29" t="n">
        <v>125</v>
      </c>
      <c r="B135" s="29" t="n">
        <v>1</v>
      </c>
      <c r="C135" s="30" t="inlineStr">
        <is>
          <t>CINTO DE COURO DIESEL 996 1240 1745 5551275026</t>
        </is>
      </c>
      <c r="D135" s="31" t="n">
        <v>150</v>
      </c>
      <c r="E135" s="31" t="n">
        <v>150</v>
      </c>
      <c r="F135" s="29" t="inlineStr">
        <is>
          <t>55%</t>
        </is>
      </c>
      <c r="G135" s="32" t="inlineStr">
        <is>
          <t>ver no ML</t>
        </is>
      </c>
    </row>
    <row r="136">
      <c r="A136" s="33" t="n">
        <v>126</v>
      </c>
      <c r="B136" s="33" t="n">
        <v>1</v>
      </c>
      <c r="C136" s="34" t="inlineStr">
        <is>
          <t>TENIS ASICS 045 4996 8660 6769315114</t>
        </is>
      </c>
      <c r="D136" s="35" t="n">
        <v>130</v>
      </c>
      <c r="E136" s="35" t="n">
        <v>130</v>
      </c>
      <c r="F136" s="33" t="inlineStr">
        <is>
          <t>50%</t>
        </is>
      </c>
      <c r="G136" s="32" t="inlineStr">
        <is>
          <t>ver no ML</t>
        </is>
      </c>
    </row>
    <row r="137">
      <c r="A137" s="29" t="n">
        <v>127</v>
      </c>
      <c r="B137" s="29" t="n">
        <v>1</v>
      </c>
      <c r="C137" s="30" t="inlineStr">
        <is>
          <t>BOTA DE NEVE(PARA ESQUIAR) TAM 34 996 1238 0760 2549526070</t>
        </is>
      </c>
      <c r="D137" s="31" t="n">
        <v>120</v>
      </c>
      <c r="E137" s="31" t="n">
        <v>120</v>
      </c>
      <c r="F137" s="29" t="inlineStr">
        <is>
          <t>45%</t>
        </is>
      </c>
      <c r="G137" s="32" t="inlineStr">
        <is>
          <t>ver no ML</t>
        </is>
      </c>
    </row>
    <row r="138">
      <c r="A138" s="33" t="n">
        <v>128</v>
      </c>
      <c r="B138" s="33" t="n">
        <v>1</v>
      </c>
      <c r="C138" s="34" t="inlineStr">
        <is>
          <t>ALCA DE BOLSA MARC JACOBS 045 4996 7960 8008761154</t>
        </is>
      </c>
      <c r="D138" s="35" t="n">
        <v>120</v>
      </c>
      <c r="E138" s="35" t="n">
        <v>120</v>
      </c>
      <c r="F138" s="33" t="inlineStr">
        <is>
          <t>45%</t>
        </is>
      </c>
      <c r="G138" s="32" t="inlineStr">
        <is>
          <t>ver no ML</t>
        </is>
      </c>
    </row>
    <row r="139">
      <c r="A139" s="29" t="n">
        <v>129</v>
      </c>
      <c r="B139" s="29" t="n">
        <v>1</v>
      </c>
      <c r="C139" s="30" t="inlineStr">
        <is>
          <t>CARTEIRA DIESEL 045 4988 9431 4163577305</t>
        </is>
      </c>
      <c r="D139" s="31" t="n">
        <v>120</v>
      </c>
      <c r="E139" s="31" t="n">
        <v>120</v>
      </c>
      <c r="F139" s="29" t="inlineStr">
        <is>
          <t>50%</t>
        </is>
      </c>
      <c r="G139" s="32" t="inlineStr">
        <is>
          <t>ver no ML</t>
        </is>
      </c>
    </row>
    <row r="140">
      <c r="A140" s="33" t="n">
        <v>130</v>
      </c>
      <c r="B140" s="33" t="n">
        <v>2</v>
      </c>
      <c r="C140" s="34" t="inlineStr">
        <is>
          <t>BOTA GALOCHA FEMININA TAM 36 045 4996 8026 3349812174</t>
        </is>
      </c>
      <c r="D140" s="35" t="n">
        <v>40</v>
      </c>
      <c r="E140" s="35" t="n">
        <v>80</v>
      </c>
      <c r="F140" s="33" t="inlineStr">
        <is>
          <t>40%</t>
        </is>
      </c>
      <c r="G140" s="32" t="inlineStr">
        <is>
          <t>ver no ML</t>
        </is>
      </c>
    </row>
    <row r="141">
      <c r="A141" s="29" t="n">
        <v>131</v>
      </c>
      <c r="B141" s="29" t="n">
        <v>1</v>
      </c>
      <c r="C141" s="30" t="inlineStr">
        <is>
          <t>CHAVEIRO OFF WHITE 045 4988 9431 7596428906</t>
        </is>
      </c>
      <c r="D141" s="31" t="n">
        <v>60</v>
      </c>
      <c r="E141" s="31" t="n">
        <v>60</v>
      </c>
      <c r="F141" s="29" t="inlineStr">
        <is>
          <t>40%</t>
        </is>
      </c>
      <c r="G141" s="32" t="inlineStr">
        <is>
          <t>ver no ML</t>
        </is>
      </c>
    </row>
    <row r="142">
      <c r="A142" s="33" t="n">
        <v>132</v>
      </c>
      <c r="B142" s="33" t="n">
        <v>1</v>
      </c>
      <c r="C142" s="34" t="inlineStr">
        <is>
          <t>CINTO DE TECIDO MINI RODINI CINTO ELASTICO COM FIVELA DE PANDA - COR: ROSA -- 996 1238 0760 7211585474 (F) (ETIQUETA)</t>
        </is>
      </c>
      <c r="D142" s="35" t="n">
        <v>50</v>
      </c>
      <c r="E142" s="35" t="n">
        <v>50</v>
      </c>
      <c r="F142" s="33" t="inlineStr">
        <is>
          <t>35%</t>
        </is>
      </c>
      <c r="G142" s="32" t="inlineStr">
        <is>
          <t>ver no ML</t>
        </is>
      </c>
    </row>
    <row r="143">
      <c r="A143" s="29" t="n">
        <v>133</v>
      </c>
      <c r="B143" s="29" t="n">
        <v>1</v>
      </c>
      <c r="C143" s="30" t="inlineStr">
        <is>
          <t>BOLSA PEQUENA DE TECIDO ARCS 045 4996 7901 3639151154</t>
        </is>
      </c>
      <c r="D143" s="31" t="n">
        <v>45</v>
      </c>
      <c r="E143" s="31" t="n">
        <v>45</v>
      </c>
      <c r="F143" s="29" t="inlineStr">
        <is>
          <t>35%</t>
        </is>
      </c>
      <c r="G143" s="32" t="inlineStr">
        <is>
          <t>ver no ML</t>
        </is>
      </c>
    </row>
    <row r="144">
      <c r="A144" s="22" t="n">
        <v>134</v>
      </c>
      <c r="B144" s="22" t="n">
        <v>42</v>
      </c>
      <c r="C144" s="23" t="inlineStr">
        <is>
          <t>BOLSA DIVERSAS 891 2301 4445</t>
        </is>
      </c>
      <c r="D144" s="24" t="inlineStr">
        <is>
          <t>—</t>
        </is>
      </c>
      <c r="E144" s="24" t="inlineStr">
        <is>
          <t>—</t>
        </is>
      </c>
      <c r="F144" s="22" t="inlineStr">
        <is>
          <t>s/ preço</t>
        </is>
      </c>
      <c r="G144" s="25" t="inlineStr">
        <is>
          <t>ver no ML</t>
        </is>
      </c>
    </row>
    <row r="145">
      <c r="A145" s="22" t="n">
        <v>135</v>
      </c>
      <c r="B145" s="22" t="n">
        <v>1</v>
      </c>
      <c r="C145" s="23" t="inlineStr">
        <is>
          <t>MALA 891 2207 9621</t>
        </is>
      </c>
      <c r="D145" s="24" t="inlineStr">
        <is>
          <t>—</t>
        </is>
      </c>
      <c r="E145" s="24" t="inlineStr">
        <is>
          <t>—</t>
        </is>
      </c>
      <c r="F145" s="22" t="inlineStr">
        <is>
          <t>s/ preço</t>
        </is>
      </c>
      <c r="G145" s="25" t="inlineStr">
        <is>
          <t>ver no ML</t>
        </is>
      </c>
    </row>
    <row r="146">
      <c r="A146" s="22" t="n">
        <v>136</v>
      </c>
      <c r="B146" s="22" t="n">
        <v>1</v>
      </c>
      <c r="C146" s="23" t="inlineStr">
        <is>
          <t>BOLSA 045 4996 7735 4679871022</t>
        </is>
      </c>
      <c r="D146" s="24" t="inlineStr">
        <is>
          <t>—</t>
        </is>
      </c>
      <c r="E146" s="24" t="inlineStr">
        <is>
          <t>—</t>
        </is>
      </c>
      <c r="F146" s="22" t="inlineStr">
        <is>
          <t>s/ preço</t>
        </is>
      </c>
      <c r="G146" s="25" t="inlineStr">
        <is>
          <t>ver no ML</t>
        </is>
      </c>
    </row>
    <row r="147">
      <c r="A147" s="22" t="n">
        <v>137</v>
      </c>
      <c r="B147" s="22" t="n">
        <v>1</v>
      </c>
      <c r="C147" s="23" t="inlineStr">
        <is>
          <t>TENIS (01 VOL) 045 4996 7934 2885833182</t>
        </is>
      </c>
      <c r="D147" s="24" t="inlineStr">
        <is>
          <t>—</t>
        </is>
      </c>
      <c r="E147" s="24" t="inlineStr">
        <is>
          <t>—</t>
        </is>
      </c>
      <c r="F147" s="22" t="inlineStr">
        <is>
          <t>s/ preço</t>
        </is>
      </c>
      <c r="G147" s="25" t="inlineStr">
        <is>
          <t>ver no ML</t>
        </is>
      </c>
    </row>
    <row r="148">
      <c r="A148" s="22" t="n">
        <v>138</v>
      </c>
      <c r="B148" s="22" t="n">
        <v>1</v>
      </c>
      <c r="C148" s="23" t="inlineStr">
        <is>
          <t>BOTA TAM 40 996 1240 1653 9812649232</t>
        </is>
      </c>
      <c r="D148" s="24" t="inlineStr">
        <is>
          <t>—</t>
        </is>
      </c>
      <c r="E148" s="24" t="inlineStr">
        <is>
          <t>—</t>
        </is>
      </c>
      <c r="F148" s="22" t="inlineStr">
        <is>
          <t>s/ preço</t>
        </is>
      </c>
      <c r="G148" s="25" t="inlineStr">
        <is>
          <t>ver no ML</t>
        </is>
      </c>
    </row>
    <row r="149">
      <c r="A149" s="22" t="n">
        <v>139</v>
      </c>
      <c r="B149" s="22" t="n">
        <v>1</v>
      </c>
      <c r="C149" s="23" t="inlineStr">
        <is>
          <t>BOTA FEMININA 1 VOL 996 1240 1653 7731185615</t>
        </is>
      </c>
      <c r="D149" s="24" t="inlineStr">
        <is>
          <t>—</t>
        </is>
      </c>
      <c r="E149" s="24" t="inlineStr">
        <is>
          <t>—</t>
        </is>
      </c>
      <c r="F149" s="22" t="inlineStr">
        <is>
          <t>s/ preço</t>
        </is>
      </c>
      <c r="G149" s="25" t="inlineStr">
        <is>
          <t>ver no ML</t>
        </is>
      </c>
    </row>
    <row r="150">
      <c r="A150" s="22" t="n">
        <v>140</v>
      </c>
      <c r="B150" s="22" t="n">
        <v>1</v>
      </c>
      <c r="C150" s="23" t="inlineStr">
        <is>
          <t>BOLSA FEMININA 1 VOL 996 1238 0852 1358314764</t>
        </is>
      </c>
      <c r="D150" s="24" t="inlineStr">
        <is>
          <t>—</t>
        </is>
      </c>
      <c r="E150" s="24" t="inlineStr">
        <is>
          <t>—</t>
        </is>
      </c>
      <c r="F150" s="22" t="inlineStr">
        <is>
          <t>s/ preço</t>
        </is>
      </c>
      <c r="G150" s="25" t="inlineStr">
        <is>
          <t>ver no ML</t>
        </is>
      </c>
    </row>
    <row r="151">
      <c r="A151" s="22" t="n">
        <v>141</v>
      </c>
      <c r="B151" s="22" t="n">
        <v>1</v>
      </c>
      <c r="C151" s="23" t="inlineStr">
        <is>
          <t>CHINELO 1 VOL 045 4996 8634 2561408356</t>
        </is>
      </c>
      <c r="D151" s="24" t="inlineStr">
        <is>
          <t>—</t>
        </is>
      </c>
      <c r="E151" s="24" t="inlineStr">
        <is>
          <t>—</t>
        </is>
      </c>
      <c r="F151" s="22" t="inlineStr">
        <is>
          <t>s/ preço</t>
        </is>
      </c>
      <c r="G151" s="25" t="inlineStr">
        <is>
          <t>ver no ML</t>
        </is>
      </c>
    </row>
    <row r="152">
      <c r="C152" s="26" t="inlineStr">
        <is>
          <t>VALOR DE MERCADO TOTAL</t>
        </is>
      </c>
      <c r="D152" s="27" t="inlineStr"/>
      <c r="E152" s="28">
        <f>SUM(E11:E151)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0" r:id="rId50"/>
    <hyperlink xmlns:r="http://schemas.openxmlformats.org/officeDocument/2006/relationships" ref="G61" r:id="rId51"/>
    <hyperlink xmlns:r="http://schemas.openxmlformats.org/officeDocument/2006/relationships" ref="G62" r:id="rId52"/>
    <hyperlink xmlns:r="http://schemas.openxmlformats.org/officeDocument/2006/relationships" ref="G63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69" r:id="rId59"/>
    <hyperlink xmlns:r="http://schemas.openxmlformats.org/officeDocument/2006/relationships" ref="G70" r:id="rId60"/>
    <hyperlink xmlns:r="http://schemas.openxmlformats.org/officeDocument/2006/relationships" ref="G71" r:id="rId61"/>
    <hyperlink xmlns:r="http://schemas.openxmlformats.org/officeDocument/2006/relationships" ref="G72" r:id="rId62"/>
    <hyperlink xmlns:r="http://schemas.openxmlformats.org/officeDocument/2006/relationships" ref="G73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3" r:id="rId73"/>
    <hyperlink xmlns:r="http://schemas.openxmlformats.org/officeDocument/2006/relationships" ref="G84" r:id="rId74"/>
    <hyperlink xmlns:r="http://schemas.openxmlformats.org/officeDocument/2006/relationships" ref="G85" r:id="rId75"/>
    <hyperlink xmlns:r="http://schemas.openxmlformats.org/officeDocument/2006/relationships" ref="G86" r:id="rId76"/>
    <hyperlink xmlns:r="http://schemas.openxmlformats.org/officeDocument/2006/relationships" ref="G87" r:id="rId77"/>
    <hyperlink xmlns:r="http://schemas.openxmlformats.org/officeDocument/2006/relationships" ref="G88" r:id="rId78"/>
    <hyperlink xmlns:r="http://schemas.openxmlformats.org/officeDocument/2006/relationships" ref="G89" r:id="rId79"/>
    <hyperlink xmlns:r="http://schemas.openxmlformats.org/officeDocument/2006/relationships" ref="G90" r:id="rId80"/>
    <hyperlink xmlns:r="http://schemas.openxmlformats.org/officeDocument/2006/relationships" ref="G91" r:id="rId81"/>
    <hyperlink xmlns:r="http://schemas.openxmlformats.org/officeDocument/2006/relationships" ref="G92" r:id="rId82"/>
    <hyperlink xmlns:r="http://schemas.openxmlformats.org/officeDocument/2006/relationships" ref="G93" r:id="rId83"/>
    <hyperlink xmlns:r="http://schemas.openxmlformats.org/officeDocument/2006/relationships" ref="G94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  <hyperlink xmlns:r="http://schemas.openxmlformats.org/officeDocument/2006/relationships" ref="G109" r:id="rId99"/>
    <hyperlink xmlns:r="http://schemas.openxmlformats.org/officeDocument/2006/relationships" ref="G110" r:id="rId100"/>
    <hyperlink xmlns:r="http://schemas.openxmlformats.org/officeDocument/2006/relationships" ref="G111" r:id="rId101"/>
    <hyperlink xmlns:r="http://schemas.openxmlformats.org/officeDocument/2006/relationships" ref="G112" r:id="rId102"/>
    <hyperlink xmlns:r="http://schemas.openxmlformats.org/officeDocument/2006/relationships" ref="G113" r:id="rId103"/>
    <hyperlink xmlns:r="http://schemas.openxmlformats.org/officeDocument/2006/relationships" ref="G114" r:id="rId104"/>
    <hyperlink xmlns:r="http://schemas.openxmlformats.org/officeDocument/2006/relationships" ref="G115" r:id="rId105"/>
    <hyperlink xmlns:r="http://schemas.openxmlformats.org/officeDocument/2006/relationships" ref="G116" r:id="rId106"/>
    <hyperlink xmlns:r="http://schemas.openxmlformats.org/officeDocument/2006/relationships" ref="G117" r:id="rId107"/>
    <hyperlink xmlns:r="http://schemas.openxmlformats.org/officeDocument/2006/relationships" ref="G118" r:id="rId108"/>
    <hyperlink xmlns:r="http://schemas.openxmlformats.org/officeDocument/2006/relationships" ref="G119" r:id="rId109"/>
    <hyperlink xmlns:r="http://schemas.openxmlformats.org/officeDocument/2006/relationships" ref="G120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4" r:id="rId134"/>
    <hyperlink xmlns:r="http://schemas.openxmlformats.org/officeDocument/2006/relationships" ref="G145" r:id="rId135"/>
    <hyperlink xmlns:r="http://schemas.openxmlformats.org/officeDocument/2006/relationships" ref="G146" r:id="rId136"/>
    <hyperlink xmlns:r="http://schemas.openxmlformats.org/officeDocument/2006/relationships" ref="G147" r:id="rId137"/>
    <hyperlink xmlns:r="http://schemas.openxmlformats.org/officeDocument/2006/relationships" ref="G148" r:id="rId138"/>
    <hyperlink xmlns:r="http://schemas.openxmlformats.org/officeDocument/2006/relationships" ref="G149" r:id="rId139"/>
    <hyperlink xmlns:r="http://schemas.openxmlformats.org/officeDocument/2006/relationships" ref="G150" r:id="rId140"/>
    <hyperlink xmlns:r="http://schemas.openxmlformats.org/officeDocument/2006/relationships" ref="G151" r:id="rId14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24 — COMPONENTE ELETRÔNICO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380</v>
      </c>
    </row>
    <row r="5">
      <c r="A5" s="16" t="inlineStr">
        <is>
          <t>Valor de mercado (itens)</t>
        </is>
      </c>
      <c r="C5" s="18" t="n">
        <v>1510</v>
      </c>
    </row>
    <row r="6">
      <c r="A6" s="16" t="inlineStr">
        <is>
          <t>LANCE mínimo (conservador)</t>
        </is>
      </c>
      <c r="C6" s="19" t="n">
        <v>528</v>
      </c>
    </row>
    <row r="7">
      <c r="A7" s="16" t="inlineStr">
        <is>
          <t>LANCE ideal</t>
        </is>
      </c>
      <c r="C7" s="19" t="n">
        <v>687</v>
      </c>
    </row>
    <row r="8">
      <c r="A8" s="16" t="inlineStr">
        <is>
          <t>LANCE máximo (agressivo)</t>
        </is>
      </c>
      <c r="C8" s="20" t="n">
        <v>898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302</v>
      </c>
      <c r="C11" s="30" t="inlineStr">
        <is>
          <t>CONECTOR ELETRICO D24 0025 2276</t>
        </is>
      </c>
      <c r="D11" s="31" t="n">
        <v>5</v>
      </c>
      <c r="E11" s="31" t="n">
        <v>1510</v>
      </c>
      <c r="F11" s="29" t="inlineStr">
        <is>
          <t>40%</t>
        </is>
      </c>
      <c r="G11" s="32" t="inlineStr">
        <is>
          <t>ver no ML</t>
        </is>
      </c>
    </row>
    <row r="12">
      <c r="A12" s="22" t="n">
        <v>2</v>
      </c>
      <c r="B12" s="22" t="n">
        <v>70</v>
      </c>
      <c r="C12" s="23" t="inlineStr">
        <is>
          <t>PECAS CAIXA DE SOM - RESISTOR DE CERAMICA, CAPACITOR, CONE DE FIBRA DE CARBONO - S/ MARCA, FEITO NA CHINA - 12593862974D/SI2305015 PBT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1</v>
      </c>
      <c r="C13" s="23" t="inlineStr">
        <is>
          <t>PLACA ELETRONICA 230 0163 6342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A14" s="22" t="n">
        <v>4</v>
      </c>
      <c r="B14" s="22" t="n">
        <v>2</v>
      </c>
      <c r="C14" s="23" t="inlineStr">
        <is>
          <t>PLACA DE PRECESSADOR ERICSSOM D2400154255</t>
        </is>
      </c>
      <c r="D14" s="24" t="inlineStr">
        <is>
          <t>—</t>
        </is>
      </c>
      <c r="E14" s="24" t="inlineStr">
        <is>
          <t>—</t>
        </is>
      </c>
      <c r="F14" s="22" t="inlineStr">
        <is>
          <t>s/ preço</t>
        </is>
      </c>
      <c r="G14" s="25" t="inlineStr">
        <is>
          <t>ver no ML</t>
        </is>
      </c>
    </row>
    <row r="15">
      <c r="A15" s="22" t="n">
        <v>5</v>
      </c>
      <c r="B15" s="22" t="n">
        <v>131</v>
      </c>
      <c r="C15" s="23" t="inlineStr">
        <is>
          <t>COMPONENTES ELETRONICOS /ISOLADOR D24 0025 2276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C16" s="26" t="inlineStr">
        <is>
          <t>VALOR DE MERCADO TOTAL</t>
        </is>
      </c>
      <c r="D16" s="27" t="inlineStr"/>
      <c r="E16" s="28">
        <f>SUM(E11:E15)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29 — PEÇA/ACESSÓRIO PARA VEÍCULO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29200</v>
      </c>
    </row>
    <row r="5">
      <c r="A5" s="16" t="inlineStr">
        <is>
          <t>Valor de mercado (itens)</t>
        </is>
      </c>
      <c r="C5" s="18" t="n">
        <v>13205</v>
      </c>
    </row>
    <row r="6">
      <c r="A6" s="16" t="inlineStr">
        <is>
          <t>LANCE mínimo (conservador)</t>
        </is>
      </c>
      <c r="C6" s="19" t="n">
        <v>4622</v>
      </c>
    </row>
    <row r="7">
      <c r="A7" s="16" t="inlineStr">
        <is>
          <t>LANCE ideal</t>
        </is>
      </c>
      <c r="C7" s="19" t="n">
        <v>6008</v>
      </c>
    </row>
    <row r="8">
      <c r="A8" s="16" t="inlineStr">
        <is>
          <t>LANCE máximo (agressivo)</t>
        </is>
      </c>
      <c r="C8" s="20" t="n">
        <v>7857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100</v>
      </c>
      <c r="C11" s="30" t="inlineStr">
        <is>
          <t>PARTES E PECAS AUTOMOVEL MODULO ECS REBOQUE CARRO FIAT D2400117873</t>
        </is>
      </c>
      <c r="D11" s="31" t="n">
        <v>50</v>
      </c>
      <c r="E11" s="31" t="n">
        <v>5000</v>
      </c>
      <c r="F11" s="29" t="inlineStr">
        <is>
          <t>50%</t>
        </is>
      </c>
      <c r="G11" s="32" t="inlineStr">
        <is>
          <t>ver no ML</t>
        </is>
      </c>
    </row>
    <row r="12">
      <c r="A12" s="33" t="n">
        <v>2</v>
      </c>
      <c r="B12" s="33" t="n">
        <v>4</v>
      </c>
      <c r="C12" s="34" t="inlineStr">
        <is>
          <t>PARTES E PECAS AUTOMOVEL BOMBA DE COMBUSTIVEL HAVAL D24 0017 7600</t>
        </is>
      </c>
      <c r="D12" s="35" t="n">
        <v>900</v>
      </c>
      <c r="E12" s="35" t="n">
        <v>3600</v>
      </c>
      <c r="F12" s="33" t="inlineStr">
        <is>
          <t>70%</t>
        </is>
      </c>
      <c r="G12" s="32" t="inlineStr">
        <is>
          <t>ver no ML</t>
        </is>
      </c>
    </row>
    <row r="13">
      <c r="A13" s="29" t="n">
        <v>3</v>
      </c>
      <c r="B13" s="29" t="n">
        <v>4</v>
      </c>
      <c r="C13" s="30" t="inlineStr">
        <is>
          <t>PARTES E PECAS AUTOMOVEL LANTERNAS TRASEIRAS PARA HB20 2023, HYUNDAI D24 0004 8630</t>
        </is>
      </c>
      <c r="D13" s="31" t="n">
        <v>450</v>
      </c>
      <c r="E13" s="31" t="n">
        <v>1800</v>
      </c>
      <c r="F13" s="29" t="inlineStr">
        <is>
          <t>55%</t>
        </is>
      </c>
      <c r="G13" s="32" t="inlineStr">
        <is>
          <t>ver no ML</t>
        </is>
      </c>
    </row>
    <row r="14">
      <c r="A14" s="33" t="n">
        <v>4</v>
      </c>
      <c r="B14" s="33" t="n">
        <v>73</v>
      </c>
      <c r="C14" s="34" t="inlineStr">
        <is>
          <t>CARREGADORES E PARAFUSOS PARA CARRO D24 0011 2945</t>
        </is>
      </c>
      <c r="D14" s="35" t="n">
        <v>15</v>
      </c>
      <c r="E14" s="35" t="n">
        <v>1095</v>
      </c>
      <c r="F14" s="33" t="inlineStr">
        <is>
          <t>35%</t>
        </is>
      </c>
      <c r="G14" s="32" t="inlineStr">
        <is>
          <t>ver no ML</t>
        </is>
      </c>
    </row>
    <row r="15">
      <c r="A15" s="29" t="n">
        <v>5</v>
      </c>
      <c r="B15" s="29" t="n">
        <v>7</v>
      </c>
      <c r="C15" s="30" t="inlineStr">
        <is>
          <t>GRADE PLASTICA DE CARRO NISSAN E MAZDA - NOVAS - VARIADAS -- DSIC D24 0003 3857 V.2</t>
        </is>
      </c>
      <c r="D15" s="31" t="n">
        <v>120</v>
      </c>
      <c r="E15" s="31" t="n">
        <v>840</v>
      </c>
      <c r="F15" s="29" t="inlineStr">
        <is>
          <t>35%</t>
        </is>
      </c>
      <c r="G15" s="32" t="inlineStr">
        <is>
          <t>ver no ML</t>
        </is>
      </c>
    </row>
    <row r="16">
      <c r="A16" s="33" t="n">
        <v>6</v>
      </c>
      <c r="B16" s="33" t="n">
        <v>5</v>
      </c>
      <c r="C16" s="34" t="inlineStr">
        <is>
          <t>CAMARAS DE RE AUTOMOTIVAS 075 6349 6882 5550040521</t>
        </is>
      </c>
      <c r="D16" s="35" t="n">
        <v>50</v>
      </c>
      <c r="E16" s="35" t="n">
        <v>250</v>
      </c>
      <c r="F16" s="33" t="inlineStr">
        <is>
          <t>45%</t>
        </is>
      </c>
      <c r="G16" s="32" t="inlineStr">
        <is>
          <t>ver no ML</t>
        </is>
      </c>
    </row>
    <row r="17">
      <c r="A17" s="29" t="n">
        <v>7</v>
      </c>
      <c r="B17" s="29" t="n">
        <v>3</v>
      </c>
      <c r="C17" s="30" t="inlineStr">
        <is>
          <t>CORREIA DENTADA POWERGRIP GT4 960-8MGT4-30 W30 T120 045 9169 1563 1038484996</t>
        </is>
      </c>
      <c r="D17" s="31" t="n">
        <v>80</v>
      </c>
      <c r="E17" s="31" t="n">
        <v>240</v>
      </c>
      <c r="F17" s="29" t="inlineStr">
        <is>
          <t>45%</t>
        </is>
      </c>
      <c r="G17" s="32" t="inlineStr">
        <is>
          <t>ver no ML</t>
        </is>
      </c>
    </row>
    <row r="18">
      <c r="A18" s="33" t="n">
        <v>8</v>
      </c>
      <c r="B18" s="33" t="n">
        <v>2</v>
      </c>
      <c r="C18" s="34" t="inlineStr">
        <is>
          <t>CORREIAS DENTADAS HKS -- DSIC D24 0003 3857 V.2</t>
        </is>
      </c>
      <c r="D18" s="35" t="n">
        <v>80</v>
      </c>
      <c r="E18" s="35" t="n">
        <v>160</v>
      </c>
      <c r="F18" s="33" t="inlineStr">
        <is>
          <t>40%</t>
        </is>
      </c>
      <c r="G18" s="32" t="inlineStr">
        <is>
          <t>ver no ML</t>
        </is>
      </c>
    </row>
    <row r="19">
      <c r="A19" s="29" t="n">
        <v>9</v>
      </c>
      <c r="B19" s="29" t="n">
        <v>5</v>
      </c>
      <c r="C19" s="30" t="inlineStr">
        <is>
          <t>PARTES E PECAS AUTOMOVEL MANGUEIRA TUBO DO RADIADOR 045 9169 171A 2998803172</t>
        </is>
      </c>
      <c r="D19" s="31" t="n">
        <v>18</v>
      </c>
      <c r="E19" s="31" t="n">
        <v>90</v>
      </c>
      <c r="F19" s="29" t="inlineStr">
        <is>
          <t>35%</t>
        </is>
      </c>
      <c r="G19" s="32" t="inlineStr">
        <is>
          <t>ver no ML</t>
        </is>
      </c>
    </row>
    <row r="20">
      <c r="A20" s="33" t="n">
        <v>10</v>
      </c>
      <c r="B20" s="33" t="n">
        <v>2</v>
      </c>
      <c r="C20" s="34" t="inlineStr">
        <is>
          <t>FILTRO DE COMBUSTIVEL PARA TRATOR 001 8940 777A D578488</t>
        </is>
      </c>
      <c r="D20" s="35" t="n">
        <v>35</v>
      </c>
      <c r="E20" s="35" t="n">
        <v>70</v>
      </c>
      <c r="F20" s="33" t="inlineStr">
        <is>
          <t>50%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LANTERNA DE VEICULO CONJUNTO DE 4 LANTERNAS LARANJAS DE SETA -- DSIC D24 0003 3857 V.2</t>
        </is>
      </c>
      <c r="D21" s="31" t="n">
        <v>60</v>
      </c>
      <c r="E21" s="31" t="n">
        <v>60</v>
      </c>
      <c r="F21" s="29" t="inlineStr">
        <is>
          <t>50%</t>
        </is>
      </c>
      <c r="G21" s="32" t="inlineStr">
        <is>
          <t>ver no ML</t>
        </is>
      </c>
    </row>
    <row r="22">
      <c r="A22" s="22" t="n">
        <v>12</v>
      </c>
      <c r="B22" s="22" t="n">
        <v>119</v>
      </c>
      <c r="C22" s="23" t="inlineStr">
        <is>
          <t>PARTES E PECAS AUTOMOVEL CHICOTES PARA TAMPA TRASEIRA DO HB20 2023, HYUNDAI D24 0004 8630</t>
        </is>
      </c>
      <c r="D22" s="24" t="inlineStr">
        <is>
          <t>—</t>
        </is>
      </c>
      <c r="E22" s="24" t="inlineStr">
        <is>
          <t>—</t>
        </is>
      </c>
      <c r="F22" s="22" t="inlineStr">
        <is>
          <t>s/ preço</t>
        </is>
      </c>
      <c r="G22" s="25" t="inlineStr">
        <is>
          <t>ver no ML</t>
        </is>
      </c>
    </row>
    <row r="23">
      <c r="A23" s="22" t="n">
        <v>13</v>
      </c>
      <c r="B23" s="22" t="n">
        <v>1</v>
      </c>
      <c r="C23" s="23" t="inlineStr">
        <is>
          <t>PARTES E PECAS AUTOMOVEL KIT COMPLETO DE CONTROLE P/ SISTEMA ELETRICO E HIDRAULICO (MOTORHOME) D24 0011 6174</t>
        </is>
      </c>
      <c r="D23" s="24" t="inlineStr">
        <is>
          <t>—</t>
        </is>
      </c>
      <c r="E23" s="24" t="inlineStr">
        <is>
          <t>—</t>
        </is>
      </c>
      <c r="F23" s="22" t="inlineStr">
        <is>
          <t>s/ preço</t>
        </is>
      </c>
      <c r="G23" s="25" t="inlineStr">
        <is>
          <t>ver no ML</t>
        </is>
      </c>
    </row>
    <row r="24">
      <c r="A24" s="22" t="n">
        <v>14</v>
      </c>
      <c r="B24" s="22" t="n">
        <v>1</v>
      </c>
      <c r="C24" s="23" t="inlineStr">
        <is>
          <t>PARTES E PECAS AUTOMOVEL DORMAN, AUTOMATIC TRANSMISSION CONTROL UNIT (TCU) D24 0014 5446</t>
        </is>
      </c>
      <c r="D24" s="24" t="inlineStr">
        <is>
          <t>—</t>
        </is>
      </c>
      <c r="E24" s="24" t="inlineStr">
        <is>
          <t>—</t>
        </is>
      </c>
      <c r="F24" s="22" t="inlineStr">
        <is>
          <t>s/ preço</t>
        </is>
      </c>
      <c r="G24" s="25" t="inlineStr">
        <is>
          <t>ver no ML</t>
        </is>
      </c>
    </row>
    <row r="25">
      <c r="A25" s="22" t="n">
        <v>15</v>
      </c>
      <c r="B25" s="22" t="n">
        <v>1</v>
      </c>
      <c r="C25" s="23" t="inlineStr">
        <is>
          <t>PARTES E PECAS AUTOMOVEL BECK/ARNLEY, CONTROL ARM D24 0014 5446</t>
        </is>
      </c>
      <c r="D25" s="24" t="inlineStr">
        <is>
          <t>—</t>
        </is>
      </c>
      <c r="E25" s="24" t="inlineStr">
        <is>
          <t>—</t>
        </is>
      </c>
      <c r="F25" s="22" t="inlineStr">
        <is>
          <t>s/ preço</t>
        </is>
      </c>
      <c r="G25" s="25" t="inlineStr">
        <is>
          <t>ver no ML</t>
        </is>
      </c>
    </row>
    <row r="26">
      <c r="A26" s="22" t="n">
        <v>16</v>
      </c>
      <c r="B26" s="22" t="n">
        <v>1</v>
      </c>
      <c r="C26" s="23" t="inlineStr">
        <is>
          <t>PARTES E PECAS AUTOMOVEL KIT LAMPADAS DE LED D24 0007 9263</t>
        </is>
      </c>
      <c r="D26" s="24" t="inlineStr">
        <is>
          <t>—</t>
        </is>
      </c>
      <c r="E26" s="24" t="inlineStr">
        <is>
          <t>—</t>
        </is>
      </c>
      <c r="F26" s="22" t="inlineStr">
        <is>
          <t>s/ preço</t>
        </is>
      </c>
      <c r="G26" s="25" t="inlineStr">
        <is>
          <t>ver no ML</t>
        </is>
      </c>
    </row>
    <row r="27">
      <c r="A27" s="22" t="n">
        <v>17</v>
      </c>
      <c r="B27" s="22" t="n">
        <v>1</v>
      </c>
      <c r="C27" s="23" t="inlineStr">
        <is>
          <t>PARTES E PECAS AUTOMOVEL LIMPADOR DE PARABRISA D24 0007 9263</t>
        </is>
      </c>
      <c r="D27" s="24" t="inlineStr">
        <is>
          <t>—</t>
        </is>
      </c>
      <c r="E27" s="24" t="inlineStr">
        <is>
          <t>—</t>
        </is>
      </c>
      <c r="F27" s="22" t="inlineStr">
        <is>
          <t>s/ preço</t>
        </is>
      </c>
      <c r="G27" s="25" t="inlineStr">
        <is>
          <t>ver no ML</t>
        </is>
      </c>
    </row>
    <row r="28">
      <c r="A28" s="22" t="n">
        <v>18</v>
      </c>
      <c r="B28" s="22" t="n">
        <v>1</v>
      </c>
      <c r="C28" s="23" t="inlineStr">
        <is>
          <t>PARTES E PECAS AUTOMOVEL A-PREMIUM SET OF 4, FRONT UPPE E LOWER CONTROL ARM KIT, MERCEDES BENZ 2012-2019 D24 0007 5180</t>
        </is>
      </c>
      <c r="D28" s="24" t="inlineStr">
        <is>
          <t>—</t>
        </is>
      </c>
      <c r="E28" s="24" t="inlineStr">
        <is>
          <t>—</t>
        </is>
      </c>
      <c r="F28" s="22" t="inlineStr">
        <is>
          <t>s/ preço</t>
        </is>
      </c>
      <c r="G28" s="25" t="inlineStr">
        <is>
          <t>ver no ML</t>
        </is>
      </c>
    </row>
    <row r="29">
      <c r="A29" s="22" t="n">
        <v>19</v>
      </c>
      <c r="B29" s="22" t="n">
        <v>1</v>
      </c>
      <c r="C29" s="23" t="inlineStr">
        <is>
          <t>PARTES E PECAS AUTOMOVEL BONMUNIK TRANSMISSION ENGINE MOTOR MOUNT ML 350 D24 0007 5180</t>
        </is>
      </c>
      <c r="D29" s="24" t="inlineStr">
        <is>
          <t>—</t>
        </is>
      </c>
      <c r="E29" s="24" t="inlineStr">
        <is>
          <t>—</t>
        </is>
      </c>
      <c r="F29" s="22" t="inlineStr">
        <is>
          <t>s/ preço</t>
        </is>
      </c>
      <c r="G29" s="25" t="inlineStr">
        <is>
          <t>ver no ML</t>
        </is>
      </c>
    </row>
    <row r="30">
      <c r="A30" s="22" t="n">
        <v>20</v>
      </c>
      <c r="B30" s="22" t="n">
        <v>1</v>
      </c>
      <c r="C30" s="23" t="inlineStr">
        <is>
          <t>PARTES E PECAS AUTOMOVEL - MOTOR A COMBUSTAO D24 0012 8706</t>
        </is>
      </c>
      <c r="D30" s="24" t="inlineStr">
        <is>
          <t>—</t>
        </is>
      </c>
      <c r="E30" s="24" t="inlineStr">
        <is>
          <t>—</t>
        </is>
      </c>
      <c r="F30" s="22" t="inlineStr">
        <is>
          <t>s/ preço</t>
        </is>
      </c>
      <c r="G30" s="25" t="inlineStr">
        <is>
          <t>ver no ML</t>
        </is>
      </c>
    </row>
    <row r="31">
      <c r="A31" s="22" t="n">
        <v>21</v>
      </c>
      <c r="B31" s="22" t="n">
        <v>1</v>
      </c>
      <c r="C31" s="23" t="inlineStr">
        <is>
          <t>PARTES E PECAS AUTOMOVEL - HF POWER GRID TUBE OSCILATION LAMP RF TRODE TUBE D24 0008 2121</t>
        </is>
      </c>
      <c r="D31" s="24" t="inlineStr">
        <is>
          <t>—</t>
        </is>
      </c>
      <c r="E31" s="24" t="inlineStr">
        <is>
          <t>—</t>
        </is>
      </c>
      <c r="F31" s="22" t="inlineStr">
        <is>
          <t>s/ preço</t>
        </is>
      </c>
      <c r="G31" s="25" t="inlineStr">
        <is>
          <t>ver no ML</t>
        </is>
      </c>
    </row>
    <row r="32">
      <c r="A32" s="22" t="n">
        <v>22</v>
      </c>
      <c r="B32" s="22" t="n">
        <v>1</v>
      </c>
      <c r="C32" s="23" t="inlineStr">
        <is>
          <t>PARTES E PECAS AUTOMOVEL - LED HEADLIGHT D24 0008 2121</t>
        </is>
      </c>
      <c r="D32" s="24" t="inlineStr">
        <is>
          <t>—</t>
        </is>
      </c>
      <c r="E32" s="24" t="inlineStr">
        <is>
          <t>—</t>
        </is>
      </c>
      <c r="F32" s="22" t="inlineStr">
        <is>
          <t>s/ preço</t>
        </is>
      </c>
      <c r="G32" s="25" t="inlineStr">
        <is>
          <t>ver no ML</t>
        </is>
      </c>
    </row>
    <row r="33">
      <c r="A33" s="22" t="n">
        <v>23</v>
      </c>
      <c r="B33" s="22" t="n">
        <v>1</v>
      </c>
      <c r="C33" s="23" t="inlineStr">
        <is>
          <t>PARTES E PECAS AUTOMOVEL VALVULA DE SANGRIA DE CARTE, MENGST D24 0008 1175</t>
        </is>
      </c>
      <c r="D33" s="24" t="inlineStr">
        <is>
          <t>—</t>
        </is>
      </c>
      <c r="E33" s="24" t="inlineStr">
        <is>
          <t>—</t>
        </is>
      </c>
      <c r="F33" s="22" t="inlineStr">
        <is>
          <t>s/ preço</t>
        </is>
      </c>
      <c r="G33" s="25" t="inlineStr">
        <is>
          <t>ver no ML</t>
        </is>
      </c>
    </row>
    <row r="34">
      <c r="A34" s="22" t="n">
        <v>24</v>
      </c>
      <c r="B34" s="22" t="n">
        <v>2</v>
      </c>
      <c r="C34" s="23" t="inlineStr">
        <is>
          <t>PARTES E PECAS AUTOMOVEL PECA PARA ALINHAMENTO DE PNEUS D24 0008 1175</t>
        </is>
      </c>
      <c r="D34" s="24" t="inlineStr">
        <is>
          <t>—</t>
        </is>
      </c>
      <c r="E34" s="24" t="inlineStr">
        <is>
          <t>—</t>
        </is>
      </c>
      <c r="F34" s="22" t="inlineStr">
        <is>
          <t>s/ preço</t>
        </is>
      </c>
      <c r="G34" s="25" t="inlineStr">
        <is>
          <t>ver no ML</t>
        </is>
      </c>
    </row>
    <row r="35">
      <c r="A35" s="22" t="n">
        <v>25</v>
      </c>
      <c r="B35" s="22" t="n">
        <v>2</v>
      </c>
      <c r="C35" s="23" t="inlineStr">
        <is>
          <t>PARTES E PECAS AUTOMOVEL - SINALEIRA FORD CROWN VICTORIA D24 0008 1895</t>
        </is>
      </c>
      <c r="D35" s="24" t="inlineStr">
        <is>
          <t>—</t>
        </is>
      </c>
      <c r="E35" s="24" t="inlineStr">
        <is>
          <t>—</t>
        </is>
      </c>
      <c r="F35" s="22" t="inlineStr">
        <is>
          <t>s/ preço</t>
        </is>
      </c>
      <c r="G35" s="25" t="inlineStr">
        <is>
          <t>ver no ML</t>
        </is>
      </c>
    </row>
    <row r="36">
      <c r="A36" s="22" t="n">
        <v>26</v>
      </c>
      <c r="B36" s="22" t="n">
        <v>1</v>
      </c>
      <c r="C36" s="23" t="inlineStr">
        <is>
          <t>PARTES E PECAS AUTOMOVEL - PISTAO K3-6500-3957 5.7 SMAL BLOCK MOPAR HEMI GENI III K3 FX SERIES, DSS RACING D24 0008 2470</t>
        </is>
      </c>
      <c r="D36" s="24" t="inlineStr">
        <is>
          <t>—</t>
        </is>
      </c>
      <c r="E36" s="24" t="inlineStr">
        <is>
          <t>—</t>
        </is>
      </c>
      <c r="F36" s="22" t="inlineStr">
        <is>
          <t>s/ preço</t>
        </is>
      </c>
      <c r="G36" s="25" t="inlineStr">
        <is>
          <t>ver no ML</t>
        </is>
      </c>
    </row>
    <row r="37">
      <c r="A37" s="22" t="n">
        <v>27</v>
      </c>
      <c r="B37" s="22" t="n">
        <v>2</v>
      </c>
      <c r="C37" s="23" t="inlineStr">
        <is>
          <t>PARTES E PECAS AUTOMOVEL CONJUNTO DA TRANSMISSAO PARA CAMINHAO D24 0017 9580</t>
        </is>
      </c>
      <c r="D37" s="24" t="inlineStr">
        <is>
          <t>—</t>
        </is>
      </c>
      <c r="E37" s="24" t="inlineStr">
        <is>
          <t>—</t>
        </is>
      </c>
      <c r="F37" s="22" t="inlineStr">
        <is>
          <t>s/ preço</t>
        </is>
      </c>
      <c r="G37" s="25" t="inlineStr">
        <is>
          <t>ver no ML</t>
        </is>
      </c>
    </row>
    <row r="38">
      <c r="A38" s="22" t="n">
        <v>28</v>
      </c>
      <c r="B38" s="22" t="n">
        <v>546</v>
      </c>
      <c r="C38" s="23" t="inlineStr">
        <is>
          <t>PARTES E PECAS AUTOMOVEL - PECAS ELETRONICAS (HYUNDAI E CRETA) D24 0013 1946</t>
        </is>
      </c>
      <c r="D38" s="24" t="inlineStr">
        <is>
          <t>—</t>
        </is>
      </c>
      <c r="E38" s="24" t="inlineStr">
        <is>
          <t>—</t>
        </is>
      </c>
      <c r="F38" s="22" t="inlineStr">
        <is>
          <t>s/ preço</t>
        </is>
      </c>
      <c r="G38" s="25" t="inlineStr">
        <is>
          <t>ver no ML</t>
        </is>
      </c>
    </row>
    <row r="39">
      <c r="A39" s="22" t="n">
        <v>29</v>
      </c>
      <c r="B39" s="22" t="n">
        <v>5</v>
      </c>
      <c r="C39" s="23" t="inlineStr">
        <is>
          <t>PECA DE CARRO VW - ABRACADEIRA DE ACO P/ FIXACAO REF.: 05E253725 -- HAWB 074 6181 5751 HAJ0128854</t>
        </is>
      </c>
      <c r="D39" s="24" t="inlineStr">
        <is>
          <t>—</t>
        </is>
      </c>
      <c r="E39" s="24" t="inlineStr">
        <is>
          <t>—</t>
        </is>
      </c>
      <c r="F39" s="22" t="inlineStr">
        <is>
          <t>s/ preço</t>
        </is>
      </c>
      <c r="G39" s="25" t="inlineStr">
        <is>
          <t>ver no ML</t>
        </is>
      </c>
    </row>
    <row r="40">
      <c r="A40" s="22" t="n">
        <v>30</v>
      </c>
      <c r="B40" s="22" t="n">
        <v>1</v>
      </c>
      <c r="C40" s="23" t="inlineStr">
        <is>
          <t>CAMISA METALICA DE PISTAO AUTOMOTIVO 045 9169 1740 6904882025</t>
        </is>
      </c>
      <c r="D40" s="24" t="inlineStr">
        <is>
          <t>—</t>
        </is>
      </c>
      <c r="E40" s="24" t="inlineStr">
        <is>
          <t>—</t>
        </is>
      </c>
      <c r="F40" s="22" t="inlineStr">
        <is>
          <t>s/ preço</t>
        </is>
      </c>
      <c r="G40" s="25" t="inlineStr">
        <is>
          <t>ver no ML</t>
        </is>
      </c>
    </row>
    <row r="41">
      <c r="A41" s="22" t="n">
        <v>31</v>
      </c>
      <c r="B41" s="22" t="n">
        <v>3</v>
      </c>
      <c r="C41" s="23" t="inlineStr">
        <is>
          <t>PISTAO COMPLETO 045 9169 162A 5846548330</t>
        </is>
      </c>
      <c r="D41" s="24" t="inlineStr">
        <is>
          <t>—</t>
        </is>
      </c>
      <c r="E41" s="24" t="inlineStr">
        <is>
          <t>—</t>
        </is>
      </c>
      <c r="F41" s="22" t="inlineStr">
        <is>
          <t>s/ preço</t>
        </is>
      </c>
      <c r="G41" s="25" t="inlineStr">
        <is>
          <t>ver no ML</t>
        </is>
      </c>
    </row>
    <row r="42">
      <c r="A42" s="22" t="n">
        <v>32</v>
      </c>
      <c r="B42" s="22" t="n">
        <v>2</v>
      </c>
      <c r="C42" s="23" t="inlineStr">
        <is>
          <t>PISTAOC/ ANEIS PINO 996 1302 8341 1202538842</t>
        </is>
      </c>
      <c r="D42" s="24" t="inlineStr">
        <is>
          <t>—</t>
        </is>
      </c>
      <c r="E42" s="24" t="inlineStr">
        <is>
          <t>—</t>
        </is>
      </c>
      <c r="F42" s="22" t="inlineStr">
        <is>
          <t>s/ preço</t>
        </is>
      </c>
      <c r="G42" s="25" t="inlineStr">
        <is>
          <t>ver no ML</t>
        </is>
      </c>
    </row>
    <row r="43">
      <c r="A43" s="22" t="n">
        <v>33</v>
      </c>
      <c r="B43" s="22" t="n">
        <v>192</v>
      </c>
      <c r="C43" s="23" t="inlineStr">
        <is>
          <t>PARTES E PECAS DE MOTO SEM MARCA APARENTE - CONTROLE DE SETA E FAROL DA MANOPLA -- DSIC D24 0005 3141 V.2 PESO LIQ NO SA/CO PLASTICO</t>
        </is>
      </c>
      <c r="D43" s="24" t="inlineStr">
        <is>
          <t>—</t>
        </is>
      </c>
      <c r="E43" s="24" t="inlineStr">
        <is>
          <t>—</t>
        </is>
      </c>
      <c r="F43" s="22" t="inlineStr">
        <is>
          <t>s/ preço</t>
        </is>
      </c>
      <c r="G43" s="25" t="inlineStr">
        <is>
          <t>ver no ML</t>
        </is>
      </c>
    </row>
    <row r="44">
      <c r="A44" s="22" t="n">
        <v>34</v>
      </c>
      <c r="B44" s="22" t="n">
        <v>11</v>
      </c>
      <c r="C44" s="23" t="inlineStr">
        <is>
          <t>DISPOSITIVOS PARA TESTE DE FONTES DE ALIMENTACAO DE MOTOS 045 9111 1215 5538190674</t>
        </is>
      </c>
      <c r="D44" s="24" t="inlineStr">
        <is>
          <t>—</t>
        </is>
      </c>
      <c r="E44" s="24" t="inlineStr">
        <is>
          <t>—</t>
        </is>
      </c>
      <c r="F44" s="22" t="inlineStr">
        <is>
          <t>s/ preço</t>
        </is>
      </c>
      <c r="G44" s="25" t="inlineStr">
        <is>
          <t>ver no ML</t>
        </is>
      </c>
    </row>
    <row r="45">
      <c r="A45" s="22" t="n">
        <v>35</v>
      </c>
      <c r="B45" s="22" t="n">
        <v>17</v>
      </c>
      <c r="C45" s="23" t="inlineStr">
        <is>
          <t>CONECTORES PLASTICOS AUTOMOTIVOS D2400111358</t>
        </is>
      </c>
      <c r="D45" s="24" t="inlineStr">
        <is>
          <t>—</t>
        </is>
      </c>
      <c r="E45" s="24" t="inlineStr">
        <is>
          <t>—</t>
        </is>
      </c>
      <c r="F45" s="22" t="inlineStr">
        <is>
          <t>s/ preço</t>
        </is>
      </c>
      <c r="G45" s="25" t="inlineStr">
        <is>
          <t>ver no ML</t>
        </is>
      </c>
    </row>
    <row r="46">
      <c r="A46" s="22" t="n">
        <v>36</v>
      </c>
      <c r="B46" s="22" t="n">
        <v>3</v>
      </c>
      <c r="C46" s="23" t="inlineStr">
        <is>
          <t>PARTES E PECAS AUTOMOVEL CONDUTOR DE AR VOLKS 055 2315 3185 HAJ0150077</t>
        </is>
      </c>
      <c r="D46" s="24" t="inlineStr">
        <is>
          <t>—</t>
        </is>
      </c>
      <c r="E46" s="24" t="inlineStr">
        <is>
          <t>—</t>
        </is>
      </c>
      <c r="F46" s="22" t="inlineStr">
        <is>
          <t>s/ preço</t>
        </is>
      </c>
      <c r="G46" s="25" t="inlineStr">
        <is>
          <t>ver no ML</t>
        </is>
      </c>
    </row>
    <row r="47">
      <c r="A47" s="22" t="n">
        <v>37</v>
      </c>
      <c r="B47" s="22" t="n">
        <v>55</v>
      </c>
      <c r="C47" s="23" t="inlineStr">
        <is>
          <t>PECAS DE MOTOCICLETA D2400103776</t>
        </is>
      </c>
      <c r="D47" s="24" t="inlineStr">
        <is>
          <t>—</t>
        </is>
      </c>
      <c r="E47" s="24" t="inlineStr">
        <is>
          <t>—</t>
        </is>
      </c>
      <c r="F47" s="22" t="inlineStr">
        <is>
          <t>s/ preço</t>
        </is>
      </c>
      <c r="G47" s="25" t="inlineStr">
        <is>
          <t>ver no ML</t>
        </is>
      </c>
    </row>
    <row r="48">
      <c r="A48" s="22" t="n">
        <v>38</v>
      </c>
      <c r="B48" s="22" t="n">
        <v>9</v>
      </c>
      <c r="C48" s="23" t="inlineStr">
        <is>
          <t>BORRACHA VEDACAO ANEIS DE VEDACAO 045 9169 2134 2448961476</t>
        </is>
      </c>
      <c r="D48" s="24" t="inlineStr">
        <is>
          <t>—</t>
        </is>
      </c>
      <c r="E48" s="24" t="inlineStr">
        <is>
          <t>—</t>
        </is>
      </c>
      <c r="F48" s="22" t="inlineStr">
        <is>
          <t>s/ preço</t>
        </is>
      </c>
      <c r="G48" s="25" t="inlineStr">
        <is>
          <t>ver no ML</t>
        </is>
      </c>
    </row>
    <row r="49">
      <c r="C49" s="26" t="inlineStr">
        <is>
          <t>VALOR DE MERCADO TOTAL</t>
        </is>
      </c>
      <c r="D49" s="27" t="inlineStr"/>
      <c r="E49" s="28">
        <f>SUM(E11:E48)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  <hyperlink xmlns:r="http://schemas.openxmlformats.org/officeDocument/2006/relationships" ref="G48" r:id="rId3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33 — APARELHO/PEÇA MECÂNICA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1800</v>
      </c>
    </row>
    <row r="5">
      <c r="A5" s="16" t="inlineStr">
        <is>
          <t>Valor de mercado (itens)</t>
        </is>
      </c>
      <c r="C5" s="18" t="n">
        <v>0</v>
      </c>
    </row>
    <row r="6">
      <c r="A6" s="16" t="inlineStr">
        <is>
          <t>LANCE mínimo (conservador)</t>
        </is>
      </c>
      <c r="C6" s="19" t="n">
        <v>0</v>
      </c>
    </row>
    <row r="7">
      <c r="A7" s="16" t="inlineStr">
        <is>
          <t>LANCE ideal</t>
        </is>
      </c>
      <c r="C7" s="19" t="n">
        <v>0</v>
      </c>
    </row>
    <row r="8">
      <c r="A8" s="16" t="inlineStr">
        <is>
          <t>LANCE máximo (agressivo)</t>
        </is>
      </c>
      <c r="C8" s="20" t="n">
        <v>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2" t="n">
        <v>1</v>
      </c>
      <c r="B11" s="22" t="n">
        <v>1</v>
      </c>
      <c r="C11" s="23" t="inlineStr">
        <is>
          <t>MAQUINA GRAVACAO LASER DE ELETRONICOS, JOIAS, VIDRO, OUTROS - MAIMAN STONE MMEPU -355-5-S D24 0012 4004</t>
        </is>
      </c>
      <c r="D11" s="24" t="inlineStr">
        <is>
          <t>—</t>
        </is>
      </c>
      <c r="E11" s="24" t="inlineStr">
        <is>
          <t>—</t>
        </is>
      </c>
      <c r="F11" s="22" t="inlineStr">
        <is>
          <t>s/ preço</t>
        </is>
      </c>
      <c r="G11" s="25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34 — COMPONENTE ELETRÔNICO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3000</v>
      </c>
    </row>
    <row r="5">
      <c r="A5" s="16" t="inlineStr">
        <is>
          <t>Valor de mercado (itens)</t>
        </is>
      </c>
      <c r="C5" s="18" t="n">
        <v>56250</v>
      </c>
    </row>
    <row r="6">
      <c r="A6" s="16" t="inlineStr">
        <is>
          <t>LANCE mínimo (conservador)</t>
        </is>
      </c>
      <c r="C6" s="19" t="n">
        <v>19688</v>
      </c>
    </row>
    <row r="7">
      <c r="A7" s="16" t="inlineStr">
        <is>
          <t>LANCE ideal</t>
        </is>
      </c>
      <c r="C7" s="19" t="n">
        <v>25594</v>
      </c>
    </row>
    <row r="8">
      <c r="A8" s="16" t="inlineStr">
        <is>
          <t>LANCE máximo (agressivo)</t>
        </is>
      </c>
      <c r="C8" s="20" t="n">
        <v>33469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75</v>
      </c>
      <c r="C11" s="30" t="inlineStr">
        <is>
          <t>ROTEADOR INDUSTRIAL TELTONIKA RUT951 C/ 4 ANTENAS . 1 CABO REDE, 1 FONTE E 2 CARTELAS 045 1175 8176 6280634496</t>
        </is>
      </c>
      <c r="D11" s="31" t="n">
        <v>750</v>
      </c>
      <c r="E11" s="31" t="n">
        <v>56250</v>
      </c>
      <c r="F11" s="29" t="inlineStr">
        <is>
          <t>70%</t>
        </is>
      </c>
      <c r="G11" s="32" t="inlineStr">
        <is>
          <t>ver no ML</t>
        </is>
      </c>
    </row>
    <row r="12">
      <c r="A12" s="22" t="n">
        <v>2</v>
      </c>
      <c r="B12" s="22" t="n">
        <v>1</v>
      </c>
      <c r="C12" s="23" t="inlineStr">
        <is>
          <t>VESTAS, CY5223, 51522302-0033292 - PECA P/ REPOSICAO ENEGIA EOLICA D24 0012 4252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1</v>
      </c>
      <c r="C13" s="23" t="inlineStr">
        <is>
          <t>TELA TOUCH TERMINAL INTERATIVO SCHNEIDER HMIDT952 VOL1 23099401050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A14" s="22" t="n">
        <v>4</v>
      </c>
      <c r="B14" s="22" t="n">
        <v>1</v>
      </c>
      <c r="C14" s="23" t="inlineStr">
        <is>
          <t>FONTE DE ENERGIA SCHNEIDER VOL1 23099401050</t>
        </is>
      </c>
      <c r="D14" s="24" t="inlineStr">
        <is>
          <t>—</t>
        </is>
      </c>
      <c r="E14" s="24" t="inlineStr">
        <is>
          <t>—</t>
        </is>
      </c>
      <c r="F14" s="22" t="inlineStr">
        <is>
          <t>s/ preço</t>
        </is>
      </c>
      <c r="G14" s="25" t="inlineStr">
        <is>
          <t>ver no ML</t>
        </is>
      </c>
    </row>
    <row r="15">
      <c r="A15" s="22" t="n">
        <v>5</v>
      </c>
      <c r="B15" s="22" t="n">
        <v>1</v>
      </c>
      <c r="C15" s="23" t="inlineStr">
        <is>
          <t>SWITCH 5 PORTAS SCHNEIDER VOL1 23099401050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A16" s="22" t="n">
        <v>6</v>
      </c>
      <c r="B16" s="22" t="n">
        <v>8</v>
      </c>
      <c r="C16" s="23" t="inlineStr">
        <is>
          <t>LASER GCC / CAVITY ORING QUANTA SYSTEM - PECAS P/ EQUIP LASER VLR SITE - PBT 0,35 KG / 045 9973 2500 8209391643</t>
        </is>
      </c>
      <c r="D16" s="24" t="inlineStr">
        <is>
          <t>—</t>
        </is>
      </c>
      <c r="E16" s="24" t="inlineStr">
        <is>
          <t>—</t>
        </is>
      </c>
      <c r="F16" s="22" t="inlineStr">
        <is>
          <t>s/ preço</t>
        </is>
      </c>
      <c r="G16" s="25" t="inlineStr">
        <is>
          <t>ver no ML</t>
        </is>
      </c>
    </row>
    <row r="17">
      <c r="A17" s="22" t="n">
        <v>7</v>
      </c>
      <c r="B17" s="22" t="n">
        <v>1</v>
      </c>
      <c r="C17" s="23" t="inlineStr">
        <is>
          <t>LASER GCC / SHUTTER BOARD QUANTA SYSTEM PART EAQ000059 - PECA P/ EQUIP LASER VLR SITE - PBT 0,35 KG / 045 9973 2500 8209///391643</t>
        </is>
      </c>
      <c r="D17" s="24" t="inlineStr">
        <is>
          <t>—</t>
        </is>
      </c>
      <c r="E17" s="24" t="inlineStr">
        <is>
          <t>—</t>
        </is>
      </c>
      <c r="F17" s="22" t="inlineStr">
        <is>
          <t>s/ preço</t>
        </is>
      </c>
      <c r="G17" s="25" t="inlineStr">
        <is>
          <t>ver no ML</t>
        </is>
      </c>
    </row>
    <row r="18">
      <c r="A18" s="22" t="n">
        <v>8</v>
      </c>
      <c r="B18" s="22" t="n">
        <v>1</v>
      </c>
      <c r="C18" s="23" t="inlineStr">
        <is>
          <t>LASER GCC / HP CABLE 16MM QUANTA SYSTEM / PECA P/ EQUIP LASER VLR SITE - PBT 0,35 KG / 045 9973 2500 8209391643</t>
        </is>
      </c>
      <c r="D18" s="24" t="inlineStr">
        <is>
          <t>—</t>
        </is>
      </c>
      <c r="E18" s="24" t="inlineStr">
        <is>
          <t>—</t>
        </is>
      </c>
      <c r="F18" s="22" t="inlineStr">
        <is>
          <t>s/ preço</t>
        </is>
      </c>
      <c r="G18" s="25" t="inlineStr">
        <is>
          <t>ver no ML</t>
        </is>
      </c>
    </row>
    <row r="19">
      <c r="A19" s="22" t="n">
        <v>9</v>
      </c>
      <c r="B19" s="22" t="n">
        <v>1</v>
      </c>
      <c r="C19" s="23" t="inlineStr">
        <is>
          <t>LASER GCC / FILTRO IONIZING FILTER QUANTA SYSTEM / PECA EQUIP LASER VLR SITE - PBT 0,35 KG / 045 9973 2500 8209391643</t>
        </is>
      </c>
      <c r="D19" s="24" t="inlineStr">
        <is>
          <t>—</t>
        </is>
      </c>
      <c r="E19" s="24" t="inlineStr">
        <is>
          <t>—</t>
        </is>
      </c>
      <c r="F19" s="22" t="inlineStr">
        <is>
          <t>s/ preço</t>
        </is>
      </c>
      <c r="G19" s="25" t="inlineStr">
        <is>
          <t>ver no ML</t>
        </is>
      </c>
    </row>
    <row r="20">
      <c r="A20" s="22" t="n">
        <v>10</v>
      </c>
      <c r="B20" s="22" t="n">
        <v>1</v>
      </c>
      <c r="C20" s="23" t="inlineStr">
        <is>
          <t>CABO PARA SENSOR CABO DE FIBRA OTICA 075 6389 9076 4380603474</t>
        </is>
      </c>
      <c r="D20" s="24" t="inlineStr">
        <is>
          <t>—</t>
        </is>
      </c>
      <c r="E20" s="24" t="inlineStr">
        <is>
          <t>—</t>
        </is>
      </c>
      <c r="F20" s="22" t="inlineStr">
        <is>
          <t>s/ preço</t>
        </is>
      </c>
      <c r="G20" s="25" t="inlineStr">
        <is>
          <t>ver no ML</t>
        </is>
      </c>
    </row>
    <row r="21">
      <c r="C21" s="26" t="inlineStr">
        <is>
          <t>VALOR DE MERCADO TOTAL</t>
        </is>
      </c>
      <c r="D21" s="27" t="inlineStr"/>
      <c r="E21" s="28">
        <f>SUM(E11:E20)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35 — APARELHO/PEÇA MECÂNICA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8300</v>
      </c>
    </row>
    <row r="5">
      <c r="A5" s="16" t="inlineStr">
        <is>
          <t>Valor de mercado (itens)</t>
        </is>
      </c>
      <c r="C5" s="18" t="n">
        <v>2052</v>
      </c>
    </row>
    <row r="6">
      <c r="A6" s="16" t="inlineStr">
        <is>
          <t>LANCE mínimo (conservador)</t>
        </is>
      </c>
      <c r="C6" s="19" t="n">
        <v>718</v>
      </c>
    </row>
    <row r="7">
      <c r="A7" s="16" t="inlineStr">
        <is>
          <t>LANCE ideal</t>
        </is>
      </c>
      <c r="C7" s="19" t="n">
        <v>934</v>
      </c>
    </row>
    <row r="8">
      <c r="A8" s="16" t="inlineStr">
        <is>
          <t>LANCE máximo (agressivo)</t>
        </is>
      </c>
      <c r="C8" s="20" t="n">
        <v>1221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60</v>
      </c>
      <c r="C11" s="30" t="inlineStr">
        <is>
          <t>CONECTORES PARA VALVULAS DE AR COMPRIMIDO E/OU PNEUMATICO - RIEGLER D24 0012 7198</t>
        </is>
      </c>
      <c r="D11" s="31" t="n">
        <v>10</v>
      </c>
      <c r="E11" s="31" t="n">
        <v>600</v>
      </c>
      <c r="F11" s="29" t="inlineStr">
        <is>
          <t>55%</t>
        </is>
      </c>
      <c r="G11" s="32" t="inlineStr">
        <is>
          <t>ver no ML</t>
        </is>
      </c>
    </row>
    <row r="12">
      <c r="A12" s="33" t="n">
        <v>2</v>
      </c>
      <c r="B12" s="33" t="n">
        <v>2</v>
      </c>
      <c r="C12" s="34" t="inlineStr">
        <is>
          <t>REGULADOR DE POTENCIA P/N: 8801205B 075 6372 8361 1261530244</t>
        </is>
      </c>
      <c r="D12" s="35" t="n">
        <v>200</v>
      </c>
      <c r="E12" s="35" t="n">
        <v>400</v>
      </c>
      <c r="F12" s="33" t="inlineStr">
        <is>
          <t>30%</t>
        </is>
      </c>
      <c r="G12" s="32" t="inlineStr">
        <is>
          <t>ver no ML</t>
        </is>
      </c>
    </row>
    <row r="13">
      <c r="A13" s="29" t="n">
        <v>3</v>
      </c>
      <c r="B13" s="29" t="n">
        <v>26</v>
      </c>
      <c r="C13" s="30" t="inlineStr">
        <is>
          <t>DISJUNTORES MINI SIEMENS 5SL61207MB 075 6372 8571 2436926365</t>
        </is>
      </c>
      <c r="D13" s="31" t="n">
        <v>12</v>
      </c>
      <c r="E13" s="31" t="n">
        <v>312</v>
      </c>
      <c r="F13" s="29" t="inlineStr">
        <is>
          <t>60%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MOTOR ELETRICO CHEINAUTO AUTOMATIC 370W ELECTRIC, SINGLE PHASE INDUCTION MOTOR D24 0012 2406</t>
        </is>
      </c>
      <c r="D14" s="35" t="n">
        <v>250</v>
      </c>
      <c r="E14" s="35" t="n">
        <v>250</v>
      </c>
      <c r="F14" s="33" t="inlineStr">
        <is>
          <t>40%</t>
        </is>
      </c>
      <c r="G14" s="32" t="inlineStr">
        <is>
          <t>ver no ML</t>
        </is>
      </c>
    </row>
    <row r="15">
      <c r="A15" s="29" t="n">
        <v>5</v>
      </c>
      <c r="B15" s="29" t="n">
        <v>20</v>
      </c>
      <c r="C15" s="30" t="inlineStr">
        <is>
          <t>MANGUEIRAS DE DRENAGEM DE SUBSTITUICAO INDUSTRIAL 045 1207 7693 8641108836</t>
        </is>
      </c>
      <c r="D15" s="31" t="n">
        <v>10</v>
      </c>
      <c r="E15" s="31" t="n">
        <v>200</v>
      </c>
      <c r="F15" s="29" t="inlineStr">
        <is>
          <t>30%</t>
        </is>
      </c>
      <c r="G15" s="32" t="inlineStr">
        <is>
          <t>ver no ML</t>
        </is>
      </c>
    </row>
    <row r="16">
      <c r="A16" s="33" t="n">
        <v>6</v>
      </c>
      <c r="B16" s="33" t="n">
        <v>10</v>
      </c>
      <c r="C16" s="34" t="inlineStr">
        <is>
          <t>METAL SANITARIO TUBOS FLEXIVEIS 045 9973 219A 8336706490</t>
        </is>
      </c>
      <c r="D16" s="35" t="n">
        <v>12</v>
      </c>
      <c r="E16" s="35" t="n">
        <v>120</v>
      </c>
      <c r="F16" s="33" t="inlineStr">
        <is>
          <t>35%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VALVULA DE CONTROLE INDUSTRIAL 075 6389 9010 2903454654</t>
        </is>
      </c>
      <c r="D17" s="31" t="n">
        <v>100</v>
      </c>
      <c r="E17" s="31" t="n">
        <v>100</v>
      </c>
      <c r="F17" s="29" t="inlineStr">
        <is>
          <t>35%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DISJUNTOR DE CORRENTE RESIDUAL RCCB STANDALONE 25A 230 V D2500024803</t>
        </is>
      </c>
      <c r="D18" s="35" t="n">
        <v>70</v>
      </c>
      <c r="E18" s="35" t="n">
        <v>70</v>
      </c>
      <c r="F18" s="33" t="inlineStr">
        <is>
          <t>65%</t>
        </is>
      </c>
      <c r="G18" s="32" t="inlineStr">
        <is>
          <t>ver no ML</t>
        </is>
      </c>
    </row>
    <row r="19">
      <c r="A19" s="22" t="n">
        <v>9</v>
      </c>
      <c r="B19" s="22" t="n">
        <v>20</v>
      </c>
      <c r="C19" s="23" t="inlineStr">
        <is>
          <t>MINI CONECTORES PARA VALVULAS DE AR COMPRIMIDO E/OU PNEUMATICO - RIEGLER D24 0012 7198</t>
        </is>
      </c>
      <c r="D19" s="24" t="inlineStr">
        <is>
          <t>—</t>
        </is>
      </c>
      <c r="E19" s="24" t="inlineStr">
        <is>
          <t>—</t>
        </is>
      </c>
      <c r="F19" s="22" t="inlineStr">
        <is>
          <t>s/ preço</t>
        </is>
      </c>
      <c r="G19" s="25" t="inlineStr">
        <is>
          <t>ver no ML</t>
        </is>
      </c>
    </row>
    <row r="20">
      <c r="A20" s="22" t="n">
        <v>10</v>
      </c>
      <c r="B20" s="22" t="n">
        <v>1</v>
      </c>
      <c r="C20" s="23" t="inlineStr">
        <is>
          <t>ROLETE SEM MARCA DEFINIDA D24 0012 2406</t>
        </is>
      </c>
      <c r="D20" s="24" t="inlineStr">
        <is>
          <t>—</t>
        </is>
      </c>
      <c r="E20" s="24" t="inlineStr">
        <is>
          <t>—</t>
        </is>
      </c>
      <c r="F20" s="22" t="inlineStr">
        <is>
          <t>s/ preço</t>
        </is>
      </c>
      <c r="G20" s="25" t="inlineStr">
        <is>
          <t>ver no ML</t>
        </is>
      </c>
    </row>
    <row r="21">
      <c r="A21" s="22" t="n">
        <v>11</v>
      </c>
      <c r="B21" s="22" t="n">
        <v>198</v>
      </c>
      <c r="C21" s="23" t="inlineStr">
        <is>
          <t>DISPOSITIVOS DE EXTENSAO 045 9973 1623 9502711455</t>
        </is>
      </c>
      <c r="D21" s="24" t="inlineStr">
        <is>
          <t>—</t>
        </is>
      </c>
      <c r="E21" s="24" t="inlineStr">
        <is>
          <t>—</t>
        </is>
      </c>
      <c r="F21" s="22" t="inlineStr">
        <is>
          <t>s/ preço</t>
        </is>
      </c>
      <c r="G21" s="25" t="inlineStr">
        <is>
          <t>ver no ML</t>
        </is>
      </c>
    </row>
    <row r="22">
      <c r="A22" s="22" t="n">
        <v>12</v>
      </c>
      <c r="B22" s="22" t="n">
        <v>15</v>
      </c>
      <c r="C22" s="23" t="inlineStr">
        <is>
          <t>ELETRODOS PARA MAQUINAS DE FIACAO DE FIBRAS DE TECIDO 075 6372 8571 7197748320</t>
        </is>
      </c>
      <c r="D22" s="24" t="inlineStr">
        <is>
          <t>—</t>
        </is>
      </c>
      <c r="E22" s="24" t="inlineStr">
        <is>
          <t>—</t>
        </is>
      </c>
      <c r="F22" s="22" t="inlineStr">
        <is>
          <t>s/ preço</t>
        </is>
      </c>
      <c r="G22" s="25" t="inlineStr">
        <is>
          <t>ver no ML</t>
        </is>
      </c>
    </row>
    <row r="23">
      <c r="A23" s="22" t="n">
        <v>13</v>
      </c>
      <c r="B23" s="22" t="n">
        <v>5</v>
      </c>
      <c r="C23" s="23" t="inlineStr">
        <is>
          <t>5 KITS DE BICOS METALICOS (4 UNID. CADA) 045 9977 545A 1757920102</t>
        </is>
      </c>
      <c r="D23" s="24" t="inlineStr">
        <is>
          <t>—</t>
        </is>
      </c>
      <c r="E23" s="24" t="inlineStr">
        <is>
          <t>—</t>
        </is>
      </c>
      <c r="F23" s="22" t="inlineStr">
        <is>
          <t>s/ preço</t>
        </is>
      </c>
      <c r="G23" s="25" t="inlineStr">
        <is>
          <t>ver no ML</t>
        </is>
      </c>
    </row>
    <row r="24">
      <c r="A24" s="22" t="n">
        <v>14</v>
      </c>
      <c r="B24" s="22" t="n">
        <v>1</v>
      </c>
      <c r="C24" s="23" t="inlineStr">
        <is>
          <t>HASTE FLUTUANTE P/ INDICADORES DE NIVE DE OLEO 045 9179 4684 TL000221600</t>
        </is>
      </c>
      <c r="D24" s="24" t="inlineStr">
        <is>
          <t>—</t>
        </is>
      </c>
      <c r="E24" s="24" t="inlineStr">
        <is>
          <t>—</t>
        </is>
      </c>
      <c r="F24" s="22" t="inlineStr">
        <is>
          <t>s/ preço</t>
        </is>
      </c>
      <c r="G24" s="25" t="inlineStr">
        <is>
          <t>ver no ML</t>
        </is>
      </c>
    </row>
    <row r="25">
      <c r="A25" s="22" t="n">
        <v>15</v>
      </c>
      <c r="B25" s="22" t="n">
        <v>1</v>
      </c>
      <c r="C25" s="23" t="inlineStr">
        <is>
          <t>PECAS ARTESANAIS DE METAL PE DE METAL NIVELADOR (JUNTA DE PE) 075 6389 8774 4691778722</t>
        </is>
      </c>
      <c r="D25" s="24" t="inlineStr">
        <is>
          <t>—</t>
        </is>
      </c>
      <c r="E25" s="24" t="inlineStr">
        <is>
          <t>—</t>
        </is>
      </c>
      <c r="F25" s="22" t="inlineStr">
        <is>
          <t>s/ preço</t>
        </is>
      </c>
      <c r="G25" s="25" t="inlineStr">
        <is>
          <t>ver no ML</t>
        </is>
      </c>
    </row>
    <row r="26">
      <c r="A26" s="22" t="n">
        <v>16</v>
      </c>
      <c r="B26" s="22" t="n">
        <v>8</v>
      </c>
      <c r="C26" s="23" t="inlineStr">
        <is>
          <t>PARTES PECAS DE MAQUINAS VOL1 07563911422 5217121162</t>
        </is>
      </c>
      <c r="D26" s="24" t="inlineStr">
        <is>
          <t>—</t>
        </is>
      </c>
      <c r="E26" s="24" t="inlineStr">
        <is>
          <t>—</t>
        </is>
      </c>
      <c r="F26" s="22" t="inlineStr">
        <is>
          <t>s/ preço</t>
        </is>
      </c>
      <c r="G26" s="25" t="inlineStr">
        <is>
          <t>ver no ML</t>
        </is>
      </c>
    </row>
    <row r="27">
      <c r="A27" s="22" t="n">
        <v>17</v>
      </c>
      <c r="B27" s="22" t="n">
        <v>1248</v>
      </c>
      <c r="C27" s="23" t="inlineStr">
        <is>
          <t>PARTES E PECAS DE MAQUINAS PESO BT VOL1 D2500150127</t>
        </is>
      </c>
      <c r="D27" s="24" t="inlineStr">
        <is>
          <t>—</t>
        </is>
      </c>
      <c r="E27" s="24" t="inlineStr">
        <is>
          <t>—</t>
        </is>
      </c>
      <c r="F27" s="22" t="inlineStr">
        <is>
          <t>s/ preço</t>
        </is>
      </c>
      <c r="G27" s="25" t="inlineStr">
        <is>
          <t>ver no ML</t>
        </is>
      </c>
    </row>
    <row r="28">
      <c r="A28" s="22" t="n">
        <v>18</v>
      </c>
      <c r="B28" s="22" t="n">
        <v>2456</v>
      </c>
      <c r="C28" s="23" t="inlineStr">
        <is>
          <t>PECA DE MAQ. BROCA DE USO INDUSTRIAL PESO BT 2 VOL 99613355543 6617798390</t>
        </is>
      </c>
      <c r="D28" s="24" t="inlineStr">
        <is>
          <t>—</t>
        </is>
      </c>
      <c r="E28" s="24" t="inlineStr">
        <is>
          <t>—</t>
        </is>
      </c>
      <c r="F28" s="22" t="inlineStr">
        <is>
          <t>s/ preço</t>
        </is>
      </c>
      <c r="G28" s="25" t="inlineStr">
        <is>
          <t>ver no ML</t>
        </is>
      </c>
    </row>
    <row r="29">
      <c r="A29" s="22" t="n">
        <v>19</v>
      </c>
      <c r="B29" s="22" t="n">
        <v>7</v>
      </c>
      <c r="C29" s="23" t="inlineStr">
        <is>
          <t>PECA DE MAQUINA PESO BT VOL 1 D2500156326</t>
        </is>
      </c>
      <c r="D29" s="24" t="inlineStr">
        <is>
          <t>—</t>
        </is>
      </c>
      <c r="E29" s="24" t="inlineStr">
        <is>
          <t>—</t>
        </is>
      </c>
      <c r="F29" s="22" t="inlineStr">
        <is>
          <t>s/ preço</t>
        </is>
      </c>
      <c r="G29" s="25" t="inlineStr">
        <is>
          <t>ver no ML</t>
        </is>
      </c>
    </row>
    <row r="30">
      <c r="A30" s="22" t="n">
        <v>20</v>
      </c>
      <c r="B30" s="22" t="n">
        <v>2</v>
      </c>
      <c r="C30" s="23" t="inlineStr">
        <is>
          <t>PECA DE MAQUINA 1 VOL 99613355753 2203148404</t>
        </is>
      </c>
      <c r="D30" s="24" t="inlineStr">
        <is>
          <t>—</t>
        </is>
      </c>
      <c r="E30" s="24" t="inlineStr">
        <is>
          <t>—</t>
        </is>
      </c>
      <c r="F30" s="22" t="inlineStr">
        <is>
          <t>s/ preço</t>
        </is>
      </c>
      <c r="G30" s="25" t="inlineStr">
        <is>
          <t>ver no ML</t>
        </is>
      </c>
    </row>
    <row r="31">
      <c r="A31" s="22" t="n">
        <v>21</v>
      </c>
      <c r="B31" s="22" t="n">
        <v>40</v>
      </c>
      <c r="C31" s="23" t="inlineStr">
        <is>
          <t>ESTRUTURA METALICA DIVERSAS P/ MANUTENCAO PESO BT 1 VOL 99613355753 1819541592</t>
        </is>
      </c>
      <c r="D31" s="24" t="inlineStr">
        <is>
          <t>—</t>
        </is>
      </c>
      <c r="E31" s="24" t="inlineStr">
        <is>
          <t>—</t>
        </is>
      </c>
      <c r="F31" s="22" t="inlineStr">
        <is>
          <t>s/ preço</t>
        </is>
      </c>
      <c r="G31" s="25" t="inlineStr">
        <is>
          <t>ver no ML</t>
        </is>
      </c>
    </row>
    <row r="32">
      <c r="A32" s="22" t="n">
        <v>22</v>
      </c>
      <c r="B32" s="22" t="n">
        <v>71</v>
      </c>
      <c r="C32" s="23" t="inlineStr">
        <is>
          <t>PARTES E PECAS DE MAQUINAS PESO BT 1 VOL 04511758670 6291982863</t>
        </is>
      </c>
      <c r="D32" s="24" t="inlineStr">
        <is>
          <t>—</t>
        </is>
      </c>
      <c r="E32" s="24" t="inlineStr">
        <is>
          <t>—</t>
        </is>
      </c>
      <c r="F32" s="22" t="inlineStr">
        <is>
          <t>s/ preço</t>
        </is>
      </c>
      <c r="G32" s="25" t="inlineStr">
        <is>
          <t>ver no ML</t>
        </is>
      </c>
    </row>
    <row r="33">
      <c r="A33" s="22" t="n">
        <v>23</v>
      </c>
      <c r="B33" s="22" t="n">
        <v>2</v>
      </c>
      <c r="C33" s="23" t="inlineStr">
        <is>
          <t>PARTES E PECAS DE MAQUINAS VOL1 99613355753 6406258110</t>
        </is>
      </c>
      <c r="D33" s="24" t="inlineStr">
        <is>
          <t>—</t>
        </is>
      </c>
      <c r="E33" s="24" t="inlineStr">
        <is>
          <t>—</t>
        </is>
      </c>
      <c r="F33" s="22" t="inlineStr">
        <is>
          <t>s/ preço</t>
        </is>
      </c>
      <c r="G33" s="25" t="inlineStr">
        <is>
          <t>ver no ML</t>
        </is>
      </c>
    </row>
    <row r="34">
      <c r="A34" s="22" t="n">
        <v>24</v>
      </c>
      <c r="B34" s="22" t="n">
        <v>2</v>
      </c>
      <c r="C34" s="23" t="inlineStr">
        <is>
          <t>PECA DE MAQUINA VOL1 D2500154256</t>
        </is>
      </c>
      <c r="D34" s="24" t="inlineStr">
        <is>
          <t>—</t>
        </is>
      </c>
      <c r="E34" s="24" t="inlineStr">
        <is>
          <t>—</t>
        </is>
      </c>
      <c r="F34" s="22" t="inlineStr">
        <is>
          <t>s/ preço</t>
        </is>
      </c>
      <c r="G34" s="25" t="inlineStr">
        <is>
          <t>ver no ML</t>
        </is>
      </c>
    </row>
    <row r="35">
      <c r="A35" s="22" t="n">
        <v>25</v>
      </c>
      <c r="B35" s="22" t="n">
        <v>200</v>
      </c>
      <c r="C35" s="23" t="inlineStr">
        <is>
          <t>ESTRUTURA METALICA PARAFUSO, PLUG, FIO E MATERIAL ELETRICO PESO BT VOL1 00110868233 LIS25000147</t>
        </is>
      </c>
      <c r="D35" s="24" t="inlineStr">
        <is>
          <t>—</t>
        </is>
      </c>
      <c r="E35" s="24" t="inlineStr">
        <is>
          <t>—</t>
        </is>
      </c>
      <c r="F35" s="22" t="inlineStr">
        <is>
          <t>s/ preço</t>
        </is>
      </c>
      <c r="G35" s="25" t="inlineStr">
        <is>
          <t>ver no ML</t>
        </is>
      </c>
    </row>
    <row r="36">
      <c r="A36" s="22" t="n">
        <v>26</v>
      </c>
      <c r="B36" s="22" t="n">
        <v>1</v>
      </c>
      <c r="C36" s="23" t="inlineStr">
        <is>
          <t>REBOQUE COMUM AL-KO PARTES DE PECA PARA REBOQUE 045 1175 8482 9102780234 - VOL 01</t>
        </is>
      </c>
      <c r="D36" s="24" t="inlineStr">
        <is>
          <t>—</t>
        </is>
      </c>
      <c r="E36" s="24" t="inlineStr">
        <is>
          <t>—</t>
        </is>
      </c>
      <c r="F36" s="22" t="inlineStr">
        <is>
          <t>s/ preço</t>
        </is>
      </c>
      <c r="G36" s="25" t="inlineStr">
        <is>
          <t>ver no ML</t>
        </is>
      </c>
    </row>
    <row r="37">
      <c r="A37" s="22" t="n">
        <v>27</v>
      </c>
      <c r="B37" s="22" t="n">
        <v>4006</v>
      </c>
      <c r="C37" s="23" t="inlineStr">
        <is>
          <t>BARRA QUADRADA FIBRA DE VIDRO APROX. 1 METRO DE COMPRIMENTO CADA BARRA 176 0161 9866 WH25040381 - PB - VOL 02 E VOL 03</t>
        </is>
      </c>
      <c r="D37" s="24" t="inlineStr">
        <is>
          <t>—</t>
        </is>
      </c>
      <c r="E37" s="24" t="inlineStr">
        <is>
          <t>—</t>
        </is>
      </c>
      <c r="F37" s="22" t="inlineStr">
        <is>
          <t>s/ preço</t>
        </is>
      </c>
      <c r="G37" s="25" t="inlineStr">
        <is>
          <t>ver no ML</t>
        </is>
      </c>
    </row>
    <row r="38">
      <c r="A38" s="22" t="n">
        <v>28</v>
      </c>
      <c r="B38" s="22" t="n">
        <v>559</v>
      </c>
      <c r="C38" s="23" t="inlineStr">
        <is>
          <t>KITS DE FIXACAO PARAFUSO;DOBRADICA;MOLA;OUTRO 176 0161 9866 WH25040381 - PB - VOL 01</t>
        </is>
      </c>
      <c r="D38" s="24" t="inlineStr">
        <is>
          <t>—</t>
        </is>
      </c>
      <c r="E38" s="24" t="inlineStr">
        <is>
          <t>—</t>
        </is>
      </c>
      <c r="F38" s="22" t="inlineStr">
        <is>
          <t>s/ preço</t>
        </is>
      </c>
      <c r="G38" s="25" t="inlineStr">
        <is>
          <t>ver no ML</t>
        </is>
      </c>
    </row>
    <row r="39">
      <c r="A39" s="22" t="n">
        <v>29</v>
      </c>
      <c r="B39" s="22" t="n">
        <v>5</v>
      </c>
      <c r="C39" s="23" t="inlineStr">
        <is>
          <t>ACESSORIO DO MONITOR DE VALVUL A - TAMPA INDICADORA 016 7987 9962 DSI2502079</t>
        </is>
      </c>
      <c r="D39" s="24" t="inlineStr">
        <is>
          <t>—</t>
        </is>
      </c>
      <c r="E39" s="24" t="inlineStr">
        <is>
          <t>—</t>
        </is>
      </c>
      <c r="F39" s="22" t="inlineStr">
        <is>
          <t>s/ preço</t>
        </is>
      </c>
      <c r="G39" s="25" t="inlineStr">
        <is>
          <t>ver no ML</t>
        </is>
      </c>
    </row>
    <row r="40">
      <c r="A40" s="22" t="n">
        <v>30</v>
      </c>
      <c r="B40" s="22" t="n">
        <v>132</v>
      </c>
      <c r="C40" s="23" t="inlineStr">
        <is>
          <t>PARAFUSO E PORCAS 996 1338 3823 3379033416</t>
        </is>
      </c>
      <c r="D40" s="24" t="inlineStr">
        <is>
          <t>—</t>
        </is>
      </c>
      <c r="E40" s="24" t="inlineStr">
        <is>
          <t>—</t>
        </is>
      </c>
      <c r="F40" s="22" t="inlineStr">
        <is>
          <t>s/ preço</t>
        </is>
      </c>
      <c r="G40" s="25" t="inlineStr">
        <is>
          <t>ver no ML</t>
        </is>
      </c>
    </row>
    <row r="41">
      <c r="A41" s="22" t="n">
        <v>31</v>
      </c>
      <c r="B41" s="22" t="n">
        <v>4</v>
      </c>
      <c r="C41" s="23" t="inlineStr">
        <is>
          <t>VALVULA PARA SERVICOS DE PETROLEO 045 9973 264A 9732334032</t>
        </is>
      </c>
      <c r="D41" s="24" t="inlineStr">
        <is>
          <t>—</t>
        </is>
      </c>
      <c r="E41" s="24" t="inlineStr">
        <is>
          <t>—</t>
        </is>
      </c>
      <c r="F41" s="22" t="inlineStr">
        <is>
          <t>s/ preço</t>
        </is>
      </c>
      <c r="G41" s="25" t="inlineStr">
        <is>
          <t>ver no ML</t>
        </is>
      </c>
    </row>
    <row r="42">
      <c r="A42" s="22" t="n">
        <v>32</v>
      </c>
      <c r="B42" s="22" t="n">
        <v>76</v>
      </c>
      <c r="C42" s="23" t="inlineStr">
        <is>
          <t>BORRACHA VEDACAO ANEIS DE VEDACAO D2500093258</t>
        </is>
      </c>
      <c r="D42" s="24" t="inlineStr">
        <is>
          <t>—</t>
        </is>
      </c>
      <c r="E42" s="24" t="inlineStr">
        <is>
          <t>—</t>
        </is>
      </c>
      <c r="F42" s="22" t="inlineStr">
        <is>
          <t>s/ preço</t>
        </is>
      </c>
      <c r="G42" s="25" t="inlineStr">
        <is>
          <t>ver no ML</t>
        </is>
      </c>
    </row>
    <row r="43">
      <c r="A43" s="22" t="n">
        <v>33</v>
      </c>
      <c r="B43" s="22" t="n">
        <v>303</v>
      </c>
      <c r="C43" s="23" t="inlineStr">
        <is>
          <t>PARTESS DE MAQUINAS DE TRABALHAR PEDRA 996 1338 3602 5079939244</t>
        </is>
      </c>
      <c r="D43" s="24" t="inlineStr">
        <is>
          <t>—</t>
        </is>
      </c>
      <c r="E43" s="24" t="inlineStr">
        <is>
          <t>—</t>
        </is>
      </c>
      <c r="F43" s="22" t="inlineStr">
        <is>
          <t>s/ preço</t>
        </is>
      </c>
      <c r="G43" s="25" t="inlineStr">
        <is>
          <t>ver no ML</t>
        </is>
      </c>
    </row>
    <row r="44">
      <c r="A44" s="22" t="n">
        <v>34</v>
      </c>
      <c r="B44" s="22" t="n">
        <v>10</v>
      </c>
      <c r="C44" s="23" t="inlineStr">
        <is>
          <t>ROLAMENTO KIT ROLAMENTOS COM GRANPINHOS 996 1339 3682 7107902561</t>
        </is>
      </c>
      <c r="D44" s="24" t="inlineStr">
        <is>
          <t>—</t>
        </is>
      </c>
      <c r="E44" s="24" t="inlineStr">
        <is>
          <t>—</t>
        </is>
      </c>
      <c r="F44" s="22" t="inlineStr">
        <is>
          <t>s/ preço</t>
        </is>
      </c>
      <c r="G44" s="25" t="inlineStr">
        <is>
          <t>ver no ML</t>
        </is>
      </c>
    </row>
    <row r="45">
      <c r="C45" s="26" t="inlineStr">
        <is>
          <t>VALOR DE MERCADO TOTAL</t>
        </is>
      </c>
      <c r="D45" s="27" t="inlineStr"/>
      <c r="E45" s="28">
        <f>SUM(E11:E44)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45 — COMPONENTE ELETRÔNICO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9100</v>
      </c>
    </row>
    <row r="5">
      <c r="A5" s="16" t="inlineStr">
        <is>
          <t>Valor de mercado (itens)</t>
        </is>
      </c>
      <c r="C5" s="18" t="n">
        <v>225410</v>
      </c>
    </row>
    <row r="6">
      <c r="A6" s="16" t="inlineStr">
        <is>
          <t>LANCE mínimo (conservador)</t>
        </is>
      </c>
      <c r="C6" s="19" t="n">
        <v>78894</v>
      </c>
    </row>
    <row r="7">
      <c r="A7" s="16" t="inlineStr">
        <is>
          <t>LANCE ideal</t>
        </is>
      </c>
      <c r="C7" s="19" t="n">
        <v>102562</v>
      </c>
    </row>
    <row r="8">
      <c r="A8" s="16" t="inlineStr">
        <is>
          <t>LANCE máximo (agressivo)</t>
        </is>
      </c>
      <c r="C8" s="20" t="n">
        <v>134119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38</v>
      </c>
      <c r="C11" s="30" t="inlineStr">
        <is>
          <t>PARTES E PECAS IMPRESSORA CABECA DE IMPRESSAO SPECTRA NOVA JA 256/80 045 1207 9362 2385267986</t>
        </is>
      </c>
      <c r="D11" s="31" t="n">
        <v>5000</v>
      </c>
      <c r="E11" s="31" t="n">
        <v>190000</v>
      </c>
      <c r="F11" s="29" t="inlineStr">
        <is>
          <t>60%</t>
        </is>
      </c>
      <c r="G11" s="32" t="inlineStr">
        <is>
          <t>ver no ML</t>
        </is>
      </c>
    </row>
    <row r="12">
      <c r="A12" s="33" t="n">
        <v>2</v>
      </c>
      <c r="B12" s="33" t="n">
        <v>2204</v>
      </c>
      <c r="C12" s="34" t="inlineStr">
        <is>
          <t>ANTENA WI-FI DUAL BAND (2.4GHZ E 5.8GHZ) CONECTOR SMA MACHO PB - V.9 E V.10 - 045 9940 2306 SZX2402960</t>
        </is>
      </c>
      <c r="D12" s="35" t="n">
        <v>15</v>
      </c>
      <c r="E12" s="35" t="n">
        <v>33060</v>
      </c>
      <c r="F12" s="33" t="inlineStr">
        <is>
          <t>55%</t>
        </is>
      </c>
      <c r="G12" s="32" t="inlineStr">
        <is>
          <t>ver no ML</t>
        </is>
      </c>
    </row>
    <row r="13">
      <c r="A13" s="29" t="n">
        <v>3</v>
      </c>
      <c r="B13" s="29" t="n">
        <v>11</v>
      </c>
      <c r="C13" s="30" t="inlineStr">
        <is>
          <t>DVR GRAVADOR CCTV - H.264 NETWORK DIGITAL VIDEO RECORDER -- HAWB 001 8112 8401 8055092964 VS. 1 E 2</t>
        </is>
      </c>
      <c r="D13" s="31" t="n">
        <v>200</v>
      </c>
      <c r="E13" s="31" t="n">
        <v>2200</v>
      </c>
      <c r="F13" s="29" t="inlineStr">
        <is>
          <t>55%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RECEPTOR P/ RADIODIFUSAO VESSELTRACKER RASPAIS RECEIVER VT-6865 RM 045 1175 8530 2089542243</t>
        </is>
      </c>
      <c r="D14" s="35" t="n">
        <v>150</v>
      </c>
      <c r="E14" s="35" t="n">
        <v>150</v>
      </c>
      <c r="F14" s="33" t="inlineStr">
        <is>
          <t>30%</t>
        </is>
      </c>
      <c r="G14" s="32" t="inlineStr">
        <is>
          <t>ver no ML</t>
        </is>
      </c>
    </row>
    <row r="15">
      <c r="A15" s="22" t="n">
        <v>5</v>
      </c>
      <c r="B15" s="22" t="n">
        <v>2</v>
      </c>
      <c r="C15" s="23" t="inlineStr">
        <is>
          <t>PLACA ELETRONICA MONTADA KIT C/ PLACA , FIOS E DVD 045 9169 2403 5512888474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A16" s="22" t="n">
        <v>6</v>
      </c>
      <c r="B16" s="22" t="n">
        <v>1</v>
      </c>
      <c r="C16" s="23" t="inlineStr">
        <is>
          <t>SERVIDOR DE COMPUTACAO OPENGEAR CONSOLE MANAGER 7100 VOL 5 04542514076</t>
        </is>
      </c>
      <c r="D16" s="24" t="inlineStr">
        <is>
          <t>—</t>
        </is>
      </c>
      <c r="E16" s="24" t="inlineStr">
        <is>
          <t>—</t>
        </is>
      </c>
      <c r="F16" s="22" t="inlineStr">
        <is>
          <t>s/ preço</t>
        </is>
      </c>
      <c r="G16" s="25" t="inlineStr">
        <is>
          <t>ver no ML</t>
        </is>
      </c>
    </row>
    <row r="17">
      <c r="A17" s="22" t="n">
        <v>7</v>
      </c>
      <c r="B17" s="22" t="n">
        <v>2</v>
      </c>
      <c r="C17" s="23" t="inlineStr">
        <is>
          <t>FIREWALL PALOALTO MODEL PA-450 C/ ACESS VOL 5 04542514076</t>
        </is>
      </c>
      <c r="D17" s="24" t="inlineStr">
        <is>
          <t>—</t>
        </is>
      </c>
      <c r="E17" s="24" t="inlineStr">
        <is>
          <t>—</t>
        </is>
      </c>
      <c r="F17" s="22" t="inlineStr">
        <is>
          <t>s/ preço</t>
        </is>
      </c>
      <c r="G17" s="25" t="inlineStr">
        <is>
          <t>ver no ML</t>
        </is>
      </c>
    </row>
    <row r="18">
      <c r="A18" s="22" t="n">
        <v>8</v>
      </c>
      <c r="B18" s="22" t="n">
        <v>77</v>
      </c>
      <c r="C18" s="23" t="inlineStr">
        <is>
          <t>CABO USB APPLE USB-C 240W CHARGE CABLE (2M) VOL 5 04542514076</t>
        </is>
      </c>
      <c r="D18" s="24" t="inlineStr">
        <is>
          <t>—</t>
        </is>
      </c>
      <c r="E18" s="24" t="inlineStr">
        <is>
          <t>—</t>
        </is>
      </c>
      <c r="F18" s="22" t="inlineStr">
        <is>
          <t>s/ preço</t>
        </is>
      </c>
      <c r="G18" s="25" t="inlineStr">
        <is>
          <t>ver no ML</t>
        </is>
      </c>
    </row>
    <row r="19">
      <c r="C19" s="26" t="inlineStr">
        <is>
          <t>VALOR DE MERCADO TOTAL</t>
        </is>
      </c>
      <c r="D19" s="27" t="inlineStr"/>
      <c r="E19" s="28">
        <f>SUM(E11:E18)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46 — ELETRÔNICO/ÁUDIO/VÍDEO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2400</v>
      </c>
    </row>
    <row r="5">
      <c r="A5" s="16" t="inlineStr">
        <is>
          <t>Valor de mercado (itens)</t>
        </is>
      </c>
      <c r="C5" s="18" t="n">
        <v>8720</v>
      </c>
    </row>
    <row r="6">
      <c r="A6" s="16" t="inlineStr">
        <is>
          <t>LANCE mínimo (conservador)</t>
        </is>
      </c>
      <c r="C6" s="19" t="n">
        <v>3052</v>
      </c>
    </row>
    <row r="7">
      <c r="A7" s="16" t="inlineStr">
        <is>
          <t>LANCE ideal</t>
        </is>
      </c>
      <c r="C7" s="19" t="n">
        <v>3968</v>
      </c>
    </row>
    <row r="8">
      <c r="A8" s="16" t="inlineStr">
        <is>
          <t>LANCE máximo (agressivo)</t>
        </is>
      </c>
      <c r="C8" s="20" t="n">
        <v>5188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21</v>
      </c>
      <c r="C11" s="30" t="inlineStr">
        <is>
          <t>SENSORES DE DETECCAO TELEMECANIQUE 045 1175 9436 2264209754</t>
        </is>
      </c>
      <c r="D11" s="31" t="n">
        <v>180</v>
      </c>
      <c r="E11" s="31" t="n">
        <v>3780</v>
      </c>
      <c r="F11" s="29" t="inlineStr">
        <is>
          <t>50%</t>
        </is>
      </c>
      <c r="G11" s="32" t="inlineStr">
        <is>
          <t>ver no ML</t>
        </is>
      </c>
    </row>
    <row r="12">
      <c r="A12" s="33" t="n">
        <v>2</v>
      </c>
      <c r="B12" s="33" t="n">
        <v>10</v>
      </c>
      <c r="C12" s="34" t="inlineStr">
        <is>
          <t>SENSOR DE PROXIMIDADE COM CABO DE 2M, E2F-X10F1, OMRON -- D25 0018 5745 --</t>
        </is>
      </c>
      <c r="D12" s="35" t="n">
        <v>200</v>
      </c>
      <c r="E12" s="35" t="n">
        <v>2000</v>
      </c>
      <c r="F12" s="33" t="inlineStr">
        <is>
          <t>55%</t>
        </is>
      </c>
      <c r="G12" s="32" t="inlineStr">
        <is>
          <t>ver no ML</t>
        </is>
      </c>
    </row>
    <row r="13">
      <c r="A13" s="29" t="n">
        <v>3</v>
      </c>
      <c r="B13" s="29" t="n">
        <v>3</v>
      </c>
      <c r="C13" s="30" t="inlineStr">
        <is>
          <t>CAMERA DE SEGURANCA COM BATERIA SOLAR, ARENTI GO2T KIT1 3MP D25 0004 7066</t>
        </is>
      </c>
      <c r="D13" s="31" t="n">
        <v>280</v>
      </c>
      <c r="E13" s="31" t="n">
        <v>840</v>
      </c>
      <c r="F13" s="29" t="inlineStr">
        <is>
          <t>60%</t>
        </is>
      </c>
      <c r="G13" s="32" t="inlineStr">
        <is>
          <t>ver no ML</t>
        </is>
      </c>
    </row>
    <row r="14">
      <c r="A14" s="33" t="n">
        <v>4</v>
      </c>
      <c r="B14" s="33" t="n">
        <v>3</v>
      </c>
      <c r="C14" s="34" t="inlineStr">
        <is>
          <t>CAMERA DE SEGURANCA 4MP OUTDOOR, ARENTI, OP1 D25 0004 7066</t>
        </is>
      </c>
      <c r="D14" s="35" t="n">
        <v>230</v>
      </c>
      <c r="E14" s="35" t="n">
        <v>690</v>
      </c>
      <c r="F14" s="33" t="inlineStr">
        <is>
          <t>55%</t>
        </is>
      </c>
      <c r="G14" s="32" t="inlineStr">
        <is>
          <t>ver no ML</t>
        </is>
      </c>
    </row>
    <row r="15">
      <c r="A15" s="29" t="n">
        <v>5</v>
      </c>
      <c r="B15" s="29" t="n">
        <v>3</v>
      </c>
      <c r="C15" s="30" t="inlineStr">
        <is>
          <t>CAMERA DE SEGURANCA 4MP OUTDOOR WIFI, ARENTI, O3 D25 0004 7066</t>
        </is>
      </c>
      <c r="D15" s="31" t="n">
        <v>230</v>
      </c>
      <c r="E15" s="31" t="n">
        <v>690</v>
      </c>
      <c r="F15" s="29" t="inlineStr">
        <is>
          <t>55%</t>
        </is>
      </c>
      <c r="G15" s="32" t="inlineStr">
        <is>
          <t>ver no ML</t>
        </is>
      </c>
    </row>
    <row r="16">
      <c r="A16" s="33" t="n">
        <v>6</v>
      </c>
      <c r="B16" s="33" t="n">
        <v>3</v>
      </c>
      <c r="C16" s="34" t="inlineStr">
        <is>
          <t>CAMERA DE SEGURANCA 3MP OUTDOO, LAXIHUB, W2 D25 0004 7066</t>
        </is>
      </c>
      <c r="D16" s="35" t="n">
        <v>140</v>
      </c>
      <c r="E16" s="35" t="n">
        <v>420</v>
      </c>
      <c r="F16" s="33" t="inlineStr">
        <is>
          <t>40%</t>
        </is>
      </c>
      <c r="G16" s="32" t="inlineStr">
        <is>
          <t>ver no ML</t>
        </is>
      </c>
    </row>
    <row r="17">
      <c r="A17" s="29" t="n">
        <v>7</v>
      </c>
      <c r="B17" s="29" t="n">
        <v>2</v>
      </c>
      <c r="C17" s="30" t="inlineStr">
        <is>
          <t>CAMERA DE SEGURANCA - DIGITAL VIDEO CAMERA - HD INFRARED -- HAWB 001 8112 8401 8055092964 V.2</t>
        </is>
      </c>
      <c r="D17" s="31" t="n">
        <v>90</v>
      </c>
      <c r="E17" s="31" t="n">
        <v>180</v>
      </c>
      <c r="F17" s="29" t="inlineStr">
        <is>
          <t>55%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CAMERA DE SEGURANCA 3MP INDOOR, ARENTI, P2T D25 0004 7066</t>
        </is>
      </c>
      <c r="D18" s="35" t="n">
        <v>120</v>
      </c>
      <c r="E18" s="35" t="n">
        <v>120</v>
      </c>
      <c r="F18" s="33" t="inlineStr">
        <is>
          <t>45%</t>
        </is>
      </c>
      <c r="G18" s="32" t="inlineStr">
        <is>
          <t>ver no ML</t>
        </is>
      </c>
    </row>
    <row r="19">
      <c r="A19" s="22" t="n">
        <v>9</v>
      </c>
      <c r="B19" s="22" t="n">
        <v>4</v>
      </c>
      <c r="C19" s="23" t="inlineStr">
        <is>
          <t>CAMERA DE SEGURANCA PANASONIC WV-S6130 VOL 5 04542514076</t>
        </is>
      </c>
      <c r="D19" s="24" t="inlineStr">
        <is>
          <t>—</t>
        </is>
      </c>
      <c r="E19" s="24" t="inlineStr">
        <is>
          <t>—</t>
        </is>
      </c>
      <c r="F19" s="22" t="inlineStr">
        <is>
          <t>s/ preço</t>
        </is>
      </c>
      <c r="G19" s="25" t="inlineStr">
        <is>
          <t>ver no ML</t>
        </is>
      </c>
    </row>
    <row r="20">
      <c r="C20" s="26" t="inlineStr">
        <is>
          <t>VALOR DE MERCADO TOTAL</t>
        </is>
      </c>
      <c r="D20" s="27" t="inlineStr"/>
      <c r="E20" s="28">
        <f>SUM(E11:E19)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47 — INFORMÁTICA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9800</v>
      </c>
    </row>
    <row r="5">
      <c r="A5" s="16" t="inlineStr">
        <is>
          <t>Valor de mercado (itens)</t>
        </is>
      </c>
      <c r="C5" s="18" t="n">
        <v>0</v>
      </c>
    </row>
    <row r="6">
      <c r="A6" s="16" t="inlineStr">
        <is>
          <t>LANCE mínimo (conservador)</t>
        </is>
      </c>
      <c r="C6" s="19" t="n">
        <v>0</v>
      </c>
    </row>
    <row r="7">
      <c r="A7" s="16" t="inlineStr">
        <is>
          <t>LANCE ideal</t>
        </is>
      </c>
      <c r="C7" s="19" t="n">
        <v>0</v>
      </c>
    </row>
    <row r="8">
      <c r="A8" s="16" t="inlineStr">
        <is>
          <t>LANCE máximo (agressivo)</t>
        </is>
      </c>
      <c r="C8" s="20" t="n">
        <v>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2" t="n">
        <v>1</v>
      </c>
      <c r="B11" s="22" t="n">
        <v>80</v>
      </c>
      <c r="C11" s="23" t="inlineStr">
        <is>
          <t>MONITOR DE VIDEO P/COMP. SAMSUNG 32 POLEGADAS MODEL S32B804PXN VOL 1 AO 5 04542514076</t>
        </is>
      </c>
      <c r="D11" s="24" t="inlineStr">
        <is>
          <t>—</t>
        </is>
      </c>
      <c r="E11" s="24" t="inlineStr">
        <is>
          <t>—</t>
        </is>
      </c>
      <c r="F11" s="22" t="inlineStr">
        <is>
          <t>s/ preço</t>
        </is>
      </c>
      <c r="G11" s="25" t="inlineStr">
        <is>
          <t>ver no ML</t>
        </is>
      </c>
    </row>
    <row r="12">
      <c r="A12" s="22" t="n">
        <v>2</v>
      </c>
      <c r="B12" s="22" t="n">
        <v>2</v>
      </c>
      <c r="C12" s="23" t="inlineStr">
        <is>
          <t>SUPORTE P/ MONITOR RACKMOUNT VOL 5 04542514076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1718</v>
      </c>
      <c r="C13" s="23" t="inlineStr">
        <is>
          <t>CABOS DIVERSOS PESO BT VOL 5 04542514076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C14" s="26" t="inlineStr">
        <is>
          <t>VALOR DE MERCADO TOTAL</t>
        </is>
      </c>
      <c r="D14" s="27" t="inlineStr"/>
      <c r="E14" s="28">
        <f>SUM(E11:E13)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50 — APARELHO/PEÇA MECÂNICA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19500</v>
      </c>
    </row>
    <row r="5">
      <c r="A5" s="16" t="inlineStr">
        <is>
          <t>Valor de mercado (itens)</t>
        </is>
      </c>
      <c r="C5" s="18" t="n">
        <v>0</v>
      </c>
    </row>
    <row r="6">
      <c r="A6" s="16" t="inlineStr">
        <is>
          <t>LANCE mínimo (conservador)</t>
        </is>
      </c>
      <c r="C6" s="19" t="n">
        <v>0</v>
      </c>
    </row>
    <row r="7">
      <c r="A7" s="16" t="inlineStr">
        <is>
          <t>LANCE ideal</t>
        </is>
      </c>
      <c r="C7" s="19" t="n">
        <v>0</v>
      </c>
    </row>
    <row r="8">
      <c r="A8" s="16" t="inlineStr">
        <is>
          <t>LANCE máximo (agressivo)</t>
        </is>
      </c>
      <c r="C8" s="20" t="n">
        <v>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2" t="n">
        <v>1</v>
      </c>
      <c r="B11" s="22" t="n">
        <v>20</v>
      </c>
      <c r="C11" s="23" t="inlineStr">
        <is>
          <t>EQUIPAMENTOS DIVERSOS PARA AUTOMACAO INDUSTRIAL - SIEMENS D24 0025 4144</t>
        </is>
      </c>
      <c r="D11" s="24" t="inlineStr">
        <is>
          <t>—</t>
        </is>
      </c>
      <c r="E11" s="24" t="inlineStr">
        <is>
          <t>—</t>
        </is>
      </c>
      <c r="F11" s="22" t="inlineStr">
        <is>
          <t>s/ preço</t>
        </is>
      </c>
      <c r="G11" s="25" t="inlineStr">
        <is>
          <t>ver no ML</t>
        </is>
      </c>
    </row>
    <row r="12">
      <c r="A12" s="22" t="n">
        <v>2</v>
      </c>
      <c r="B12" s="22" t="n">
        <v>42</v>
      </c>
      <c r="C12" s="23" t="inlineStr">
        <is>
          <t>PARTES E PECAS DE MAQUINAS DE ELEVCO INDUSTRIAL 045 9977 358A 4800371015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1</v>
      </c>
      <c r="C13" s="23" t="inlineStr">
        <is>
          <t>PECA P/ AUTOMACAO INDUSTRIAL (ENCODER RSI 503-63) 075 6406 6413 7355687474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A14" s="22" t="n">
        <v>4</v>
      </c>
      <c r="B14" s="22" t="n">
        <v>2</v>
      </c>
      <c r="C14" s="23" t="inlineStr">
        <is>
          <t>CONTROLADOR LOGICO PROGRAMAVEL UNITRONICS 045 1010 0145 MI224051569</t>
        </is>
      </c>
      <c r="D14" s="24" t="inlineStr">
        <is>
          <t>—</t>
        </is>
      </c>
      <c r="E14" s="24" t="inlineStr">
        <is>
          <t>—</t>
        </is>
      </c>
      <c r="F14" s="22" t="inlineStr">
        <is>
          <t>s/ preço</t>
        </is>
      </c>
      <c r="G14" s="25" t="inlineStr">
        <is>
          <t>ver no ML</t>
        </is>
      </c>
    </row>
    <row r="15">
      <c r="A15" s="22" t="n">
        <v>5</v>
      </c>
      <c r="B15" s="22" t="n">
        <v>1</v>
      </c>
      <c r="C15" s="23" t="inlineStr">
        <is>
          <t>BOMBA INDUSTRIAL PARA LIQUIDOS CORROSIVOS DA SAVINO BARBERA D2500208460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C16" s="26" t="inlineStr">
        <is>
          <t>VALOR DE MERCADO TOTAL</t>
        </is>
      </c>
      <c r="D16" s="27" t="inlineStr"/>
      <c r="E16" s="28">
        <f>SUM(E11:E15)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51 — APARELHO/PEÇA MECÂNICA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15800</v>
      </c>
    </row>
    <row r="5">
      <c r="A5" s="16" t="inlineStr">
        <is>
          <t>Valor de mercado (itens)</t>
        </is>
      </c>
      <c r="C5" s="18" t="n">
        <v>26800</v>
      </c>
    </row>
    <row r="6">
      <c r="A6" s="16" t="inlineStr">
        <is>
          <t>LANCE mínimo (conservador)</t>
        </is>
      </c>
      <c r="C6" s="19" t="n">
        <v>9380</v>
      </c>
    </row>
    <row r="7">
      <c r="A7" s="16" t="inlineStr">
        <is>
          <t>LANCE ideal</t>
        </is>
      </c>
      <c r="C7" s="19" t="n">
        <v>12194</v>
      </c>
    </row>
    <row r="8">
      <c r="A8" s="16" t="inlineStr">
        <is>
          <t>LANCE máximo (agressivo)</t>
        </is>
      </c>
      <c r="C8" s="20" t="n">
        <v>15946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155</v>
      </c>
      <c r="C11" s="30" t="inlineStr">
        <is>
          <t>FONTE DE LASER UV E ACESSORIOS D24 0021 9055</t>
        </is>
      </c>
      <c r="D11" s="31" t="n">
        <v>120</v>
      </c>
      <c r="E11" s="31" t="n">
        <v>18600</v>
      </c>
      <c r="F11" s="29" t="inlineStr">
        <is>
          <t>30%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MAQUINA GRAVACAO LASER D25 0007 8004</t>
        </is>
      </c>
      <c r="D12" s="35" t="n">
        <v>5000</v>
      </c>
      <c r="E12" s="35" t="n">
        <v>5000</v>
      </c>
      <c r="F12" s="33" t="inlineStr">
        <is>
          <t>45%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SICK AR60 A LASER (ALINHAMENTO P/ MAQUINAS ROTATIVAS 045 9169 290A 4393521963</t>
        </is>
      </c>
      <c r="D13" s="31" t="n">
        <v>2400</v>
      </c>
      <c r="E13" s="31" t="n">
        <v>2400</v>
      </c>
      <c r="F13" s="29" t="inlineStr">
        <is>
          <t>60%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PARTE DE EQUIPAMENTO DE ULTRASSOM PARA INSPECAO EM TUBOS, IRIS XR D23 0009 8476</t>
        </is>
      </c>
      <c r="D14" s="35" t="n">
        <v>800</v>
      </c>
      <c r="E14" s="35" t="n">
        <v>800</v>
      </c>
      <c r="F14" s="33" t="inlineStr">
        <is>
          <t>30%</t>
        </is>
      </c>
      <c r="G14" s="32" t="inlineStr">
        <is>
          <t>ver no ML</t>
        </is>
      </c>
    </row>
    <row r="15">
      <c r="C15" s="26" t="inlineStr">
        <is>
          <t>VALOR DE MERCADO TOTAL</t>
        </is>
      </c>
      <c r="D15" s="27" t="inlineStr"/>
      <c r="E15" s="28">
        <f>SUM(E11:E14)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55 — APARELHO/PEÇA MECÂNICA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9700</v>
      </c>
    </row>
    <row r="5">
      <c r="A5" s="16" t="inlineStr">
        <is>
          <t>Valor de mercado (itens)</t>
        </is>
      </c>
      <c r="C5" s="18" t="n">
        <v>0</v>
      </c>
    </row>
    <row r="6">
      <c r="A6" s="16" t="inlineStr">
        <is>
          <t>LANCE mínimo (conservador)</t>
        </is>
      </c>
      <c r="C6" s="19" t="n">
        <v>0</v>
      </c>
    </row>
    <row r="7">
      <c r="A7" s="16" t="inlineStr">
        <is>
          <t>LANCE ideal</t>
        </is>
      </c>
      <c r="C7" s="19" t="n">
        <v>0</v>
      </c>
    </row>
    <row r="8">
      <c r="A8" s="16" t="inlineStr">
        <is>
          <t>LANCE máximo (agressivo)</t>
        </is>
      </c>
      <c r="C8" s="20" t="n">
        <v>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2" t="n">
        <v>1</v>
      </c>
      <c r="B11" s="22" t="n">
        <v>90</v>
      </c>
      <c r="C11" s="23" t="inlineStr">
        <is>
          <t>BOMBA D'AGUA CPS 750 001 9423 0393 SZSC240110</t>
        </is>
      </c>
      <c r="D11" s="24" t="inlineStr">
        <is>
          <t>—</t>
        </is>
      </c>
      <c r="E11" s="24" t="inlineStr">
        <is>
          <t>—</t>
        </is>
      </c>
      <c r="F11" s="22" t="inlineStr">
        <is>
          <t>s/ preço</t>
        </is>
      </c>
      <c r="G11" s="25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58 — COMPONENTE ELETRÔNICO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3100</v>
      </c>
    </row>
    <row r="5">
      <c r="A5" s="16" t="inlineStr">
        <is>
          <t>Valor de mercado (itens)</t>
        </is>
      </c>
      <c r="C5" s="18" t="n">
        <v>0</v>
      </c>
    </row>
    <row r="6">
      <c r="A6" s="16" t="inlineStr">
        <is>
          <t>LANCE mínimo (conservador)</t>
        </is>
      </c>
      <c r="C6" s="19" t="n">
        <v>0</v>
      </c>
    </row>
    <row r="7">
      <c r="A7" s="16" t="inlineStr">
        <is>
          <t>LANCE ideal</t>
        </is>
      </c>
      <c r="C7" s="19" t="n">
        <v>0</v>
      </c>
    </row>
    <row r="8">
      <c r="A8" s="16" t="inlineStr">
        <is>
          <t>LANCE máximo (agressivo)</t>
        </is>
      </c>
      <c r="C8" s="20" t="n">
        <v>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2" t="n">
        <v>1</v>
      </c>
      <c r="B11" s="22" t="n">
        <v>1</v>
      </c>
      <c r="C11" s="23" t="inlineStr">
        <is>
          <t>FONTE DE ENERGIA FONTE DE ALIMENTAÇÃO CHAVEADA COM VENTILADOR, DELTA ELEC -- D24 0010 9075 -- VOL 1</t>
        </is>
      </c>
      <c r="D11" s="24" t="inlineStr">
        <is>
          <t>—</t>
        </is>
      </c>
      <c r="E11" s="24" t="inlineStr">
        <is>
          <t>—</t>
        </is>
      </c>
      <c r="F11" s="22" t="inlineStr">
        <is>
          <t>s/ preço</t>
        </is>
      </c>
      <c r="G11" s="25" t="inlineStr">
        <is>
          <t>ver no ML</t>
        </is>
      </c>
    </row>
    <row r="12">
      <c r="A12" s="22" t="n">
        <v>2</v>
      </c>
      <c r="B12" s="22" t="n">
        <v>1</v>
      </c>
      <c r="C12" s="23" t="inlineStr">
        <is>
          <t>FONTE DE ENERGIA FONTE DE ALIMENTAÇÃO CHAVEADA COM CARCAÇA PERFURADA, DELTA ELEC -- D24 0010 9075 -- VOL 1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1</v>
      </c>
      <c r="C13" s="23" t="inlineStr">
        <is>
          <t>CONTROLADORES PROGRÁMAVEIS CLP VENTURE BLX-A -- D24 0010 9075 -- VOL 1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A14" s="22" t="n">
        <v>4</v>
      </c>
      <c r="B14" s="22" t="n">
        <v>1</v>
      </c>
      <c r="C14" s="23" t="inlineStr">
        <is>
          <t>PAINEL DE OPERAÇÃO COM TELA PLASONIC -- D24 0010 9075 -- VOL 2</t>
        </is>
      </c>
      <c r="D14" s="24" t="inlineStr">
        <is>
          <t>—</t>
        </is>
      </c>
      <c r="E14" s="24" t="inlineStr">
        <is>
          <t>—</t>
        </is>
      </c>
      <c r="F14" s="22" t="inlineStr">
        <is>
          <t>s/ preço</t>
        </is>
      </c>
      <c r="G14" s="25" t="inlineStr">
        <is>
          <t>ver no ML</t>
        </is>
      </c>
    </row>
    <row r="15">
      <c r="A15" s="22" t="n">
        <v>5</v>
      </c>
      <c r="B15" s="22" t="n">
        <v>1</v>
      </c>
      <c r="C15" s="23" t="inlineStr">
        <is>
          <t>ESTABILIZADOR DE VOLTAGEM TRANSFORMADOR OU ESTABILIZADOR DE TENSÃO, EST -- D24 0010 9075 -- VOL 3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A16" s="22" t="n">
        <v>6</v>
      </c>
      <c r="B16" s="22" t="n">
        <v>4</v>
      </c>
      <c r="C16" s="23" t="inlineStr">
        <is>
          <t>CABOS/CONECTOR -- D24 0010 9075 -- VOL 3</t>
        </is>
      </c>
      <c r="D16" s="24" t="inlineStr">
        <is>
          <t>—</t>
        </is>
      </c>
      <c r="E16" s="24" t="inlineStr">
        <is>
          <t>—</t>
        </is>
      </c>
      <c r="F16" s="22" t="inlineStr">
        <is>
          <t>s/ preço</t>
        </is>
      </c>
      <c r="G16" s="25" t="inlineStr">
        <is>
          <t>ver no ML</t>
        </is>
      </c>
    </row>
    <row r="17">
      <c r="A17" s="22" t="n">
        <v>7</v>
      </c>
      <c r="B17" s="22" t="n">
        <v>2</v>
      </c>
      <c r="C17" s="23" t="inlineStr">
        <is>
          <t>MANUAIS DIVERSOS -- D24 0010 9075 -- VOL 3</t>
        </is>
      </c>
      <c r="D17" s="24" t="inlineStr">
        <is>
          <t>—</t>
        </is>
      </c>
      <c r="E17" s="24" t="inlineStr">
        <is>
          <t>—</t>
        </is>
      </c>
      <c r="F17" s="22" t="inlineStr">
        <is>
          <t>s/ preço</t>
        </is>
      </c>
      <c r="G17" s="25" t="inlineStr">
        <is>
          <t>ver no ML</t>
        </is>
      </c>
    </row>
    <row r="18">
      <c r="A18" s="22" t="n">
        <v>8</v>
      </c>
      <c r="B18" s="22" t="n">
        <v>45</v>
      </c>
      <c r="C18" s="23" t="inlineStr">
        <is>
          <t>CONECTORES DE CABOS DE REDE D24 0025 2287</t>
        </is>
      </c>
      <c r="D18" s="24" t="inlineStr">
        <is>
          <t>—</t>
        </is>
      </c>
      <c r="E18" s="24" t="inlineStr">
        <is>
          <t>—</t>
        </is>
      </c>
      <c r="F18" s="22" t="inlineStr">
        <is>
          <t>s/ preço</t>
        </is>
      </c>
      <c r="G18" s="25" t="inlineStr">
        <is>
          <t>ver no ML</t>
        </is>
      </c>
    </row>
    <row r="19">
      <c r="A19" s="22" t="n">
        <v>9</v>
      </c>
      <c r="B19" s="22" t="n">
        <v>8</v>
      </c>
      <c r="C19" s="23" t="inlineStr">
        <is>
          <t>TOMADA D24 0025 2287</t>
        </is>
      </c>
      <c r="D19" s="24" t="inlineStr">
        <is>
          <t>—</t>
        </is>
      </c>
      <c r="E19" s="24" t="inlineStr">
        <is>
          <t>—</t>
        </is>
      </c>
      <c r="F19" s="22" t="inlineStr">
        <is>
          <t>s/ preço</t>
        </is>
      </c>
      <c r="G19" s="25" t="inlineStr">
        <is>
          <t>ver no ML</t>
        </is>
      </c>
    </row>
    <row r="20">
      <c r="C20" s="26" t="inlineStr">
        <is>
          <t>VALOR DE MERCADO TOTAL</t>
        </is>
      </c>
      <c r="D20" s="27" t="inlineStr"/>
      <c r="E20" s="28">
        <f>SUM(E11:E19)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59 — COSMÉTICO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3800</v>
      </c>
    </row>
    <row r="5">
      <c r="A5" s="16" t="inlineStr">
        <is>
          <t>Valor de mercado (itens)</t>
        </is>
      </c>
      <c r="C5" s="18" t="n">
        <v>27590</v>
      </c>
    </row>
    <row r="6">
      <c r="A6" s="16" t="inlineStr">
        <is>
          <t>LANCE mínimo (conservador)</t>
        </is>
      </c>
      <c r="C6" s="19" t="n">
        <v>9656</v>
      </c>
    </row>
    <row r="7">
      <c r="A7" s="16" t="inlineStr">
        <is>
          <t>LANCE ideal</t>
        </is>
      </c>
      <c r="C7" s="19" t="n">
        <v>12553</v>
      </c>
    </row>
    <row r="8">
      <c r="A8" s="16" t="inlineStr">
        <is>
          <t>LANCE máximo (agressivo)</t>
        </is>
      </c>
      <c r="C8" s="20" t="n">
        <v>16416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24</v>
      </c>
      <c r="C11" s="30" t="inlineStr">
        <is>
          <t>PERFUME LACRADOS, JO MALONE LONDON VELVET ROSE &amp; OUD -- DSIC D25 0016 7385, V.7</t>
        </is>
      </c>
      <c r="D11" s="31" t="n">
        <v>700</v>
      </c>
      <c r="E11" s="31" t="n">
        <v>16800</v>
      </c>
      <c r="F11" s="29" t="inlineStr">
        <is>
          <t>55%</t>
        </is>
      </c>
      <c r="G11" s="32" t="inlineStr">
        <is>
          <t>ver no ML</t>
        </is>
      </c>
    </row>
    <row r="12">
      <c r="A12" s="33" t="n">
        <v>2</v>
      </c>
      <c r="B12" s="33" t="n">
        <v>20</v>
      </c>
      <c r="C12" s="34" t="inlineStr">
        <is>
          <t>PERFUME - LOUIS VUITTON, HEURES D ABSENCE 2ML D25 0016 4077</t>
        </is>
      </c>
      <c r="D12" s="35" t="n">
        <v>120</v>
      </c>
      <c r="E12" s="35" t="n">
        <v>2400</v>
      </c>
      <c r="F12" s="33" t="inlineStr">
        <is>
          <t>50%</t>
        </is>
      </c>
      <c r="G12" s="32" t="inlineStr">
        <is>
          <t>ver no ML</t>
        </is>
      </c>
    </row>
    <row r="13">
      <c r="A13" s="29" t="n">
        <v>3</v>
      </c>
      <c r="B13" s="29" t="n">
        <v>14</v>
      </c>
      <c r="C13" s="30" t="inlineStr">
        <is>
          <t>PERFUME ASAD LATAFFA 100 ML D24 0022 9811</t>
        </is>
      </c>
      <c r="D13" s="31" t="n">
        <v>140</v>
      </c>
      <c r="E13" s="31" t="n">
        <v>1960</v>
      </c>
      <c r="F13" s="29" t="inlineStr">
        <is>
          <t>75%</t>
        </is>
      </c>
      <c r="G13" s="32" t="inlineStr">
        <is>
          <t>ver no ML</t>
        </is>
      </c>
    </row>
    <row r="14">
      <c r="A14" s="33" t="n">
        <v>4</v>
      </c>
      <c r="B14" s="33" t="n">
        <v>10</v>
      </c>
      <c r="C14" s="34" t="inlineStr">
        <is>
          <t>PERFUME YARA LATTFA 100 ML D24 0022 9811</t>
        </is>
      </c>
      <c r="D14" s="35" t="n">
        <v>150</v>
      </c>
      <c r="E14" s="35" t="n">
        <v>1500</v>
      </c>
      <c r="F14" s="33" t="inlineStr">
        <is>
          <t>75%</t>
        </is>
      </c>
      <c r="G14" s="32" t="inlineStr">
        <is>
          <t>ver no ML</t>
        </is>
      </c>
    </row>
    <row r="15">
      <c r="A15" s="29" t="n">
        <v>5</v>
      </c>
      <c r="B15" s="29" t="n">
        <v>2</v>
      </c>
      <c r="C15" s="30" t="inlineStr">
        <is>
          <t>PERFUME DOLCE &amp; GABBANA THE ONLY ONE EDP 50ML - INVOLUCRO PLASTICO LACRADO -- DSIC D24 0007 0948 V.3</t>
        </is>
      </c>
      <c r="D15" s="31" t="n">
        <v>480</v>
      </c>
      <c r="E15" s="31" t="n">
        <v>960</v>
      </c>
      <c r="F15" s="29" t="inlineStr">
        <is>
          <t>60%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PERFUME DIOR ADDICT (100ML) 045 9973 2500 8575068434</t>
        </is>
      </c>
      <c r="D16" s="35" t="n">
        <v>650</v>
      </c>
      <c r="E16" s="35" t="n">
        <v>650</v>
      </c>
      <c r="F16" s="33" t="inlineStr">
        <is>
          <t>60%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PERFUME GIORGIO ARMANI CODE (125ML) 045 9973 2500 8575068434</t>
        </is>
      </c>
      <c r="D17" s="31" t="n">
        <v>480</v>
      </c>
      <c r="E17" s="31" t="n">
        <v>480</v>
      </c>
      <c r="F17" s="29" t="inlineStr">
        <is>
          <t>65%</t>
        </is>
      </c>
      <c r="G17" s="32" t="inlineStr">
        <is>
          <t>ver no ML</t>
        </is>
      </c>
    </row>
    <row r="18">
      <c r="A18" s="33" t="n">
        <v>8</v>
      </c>
      <c r="B18" s="33" t="n">
        <v>2</v>
      </c>
      <c r="C18" s="34" t="inlineStr">
        <is>
          <t>PERFUME MAYAR LATTAFA 100 ML D24 0022 9811</t>
        </is>
      </c>
      <c r="D18" s="35" t="n">
        <v>200</v>
      </c>
      <c r="E18" s="35" t="n">
        <v>400</v>
      </c>
      <c r="F18" s="33" t="inlineStr">
        <is>
          <t>68%</t>
        </is>
      </c>
      <c r="G18" s="32" t="inlineStr">
        <is>
          <t>ver no ML</t>
        </is>
      </c>
    </row>
    <row r="19">
      <c r="A19" s="29" t="n">
        <v>9</v>
      </c>
      <c r="B19" s="29" t="n">
        <v>4</v>
      </c>
      <c r="C19" s="30" t="inlineStr">
        <is>
          <t>PERFUME NOW RAVE NUXOR 100 ML D24 0022 9811</t>
        </is>
      </c>
      <c r="D19" s="31" t="n">
        <v>95</v>
      </c>
      <c r="E19" s="31" t="n">
        <v>380</v>
      </c>
      <c r="F19" s="29" t="inlineStr">
        <is>
          <t>60%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PERFUME CHANEL CHANCE (50ML) 045 9973 2500 8575068434</t>
        </is>
      </c>
      <c r="D20" s="35" t="n">
        <v>360</v>
      </c>
      <c r="E20" s="35" t="n">
        <v>360</v>
      </c>
      <c r="F20" s="33" t="inlineStr">
        <is>
          <t>65%</t>
        </is>
      </c>
      <c r="G20" s="32" t="inlineStr">
        <is>
          <t>ver no ML</t>
        </is>
      </c>
    </row>
    <row r="21">
      <c r="A21" s="29" t="n">
        <v>11</v>
      </c>
      <c r="B21" s="29" t="n">
        <v>2</v>
      </c>
      <c r="C21" s="30" t="inlineStr">
        <is>
          <t>PERFUME DEUX CENT DOUZE VIP BLACK 100 ML D24 0022 9811</t>
        </is>
      </c>
      <c r="D21" s="31" t="n">
        <v>150</v>
      </c>
      <c r="E21" s="31" t="n">
        <v>300</v>
      </c>
      <c r="F21" s="29" t="inlineStr">
        <is>
          <t>40%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PERFUME MOSCHINO MINIATURE COLLECTION D24 0022 9811</t>
        </is>
      </c>
      <c r="D22" s="35" t="n">
        <v>250</v>
      </c>
      <c r="E22" s="35" t="n">
        <v>250</v>
      </c>
      <c r="F22" s="33" t="inlineStr">
        <is>
          <t>60%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PERFUME VICTORIA SECRET BOMBSHELL (100ML) 045 9973 2500 8575068434</t>
        </is>
      </c>
      <c r="D23" s="31" t="n">
        <v>250</v>
      </c>
      <c r="E23" s="31" t="n">
        <v>250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2</v>
      </c>
      <c r="C24" s="34" t="inlineStr">
        <is>
          <t>PERFUME AL SAYAAD 100 ML D24 0022 9811</t>
        </is>
      </c>
      <c r="D24" s="35" t="n">
        <v>90</v>
      </c>
      <c r="E24" s="35" t="n">
        <v>180</v>
      </c>
      <c r="F24" s="33" t="inlineStr">
        <is>
          <t>60%</t>
        </is>
      </c>
      <c r="G24" s="32" t="inlineStr">
        <is>
          <t>ver no ML</t>
        </is>
      </c>
    </row>
    <row r="25">
      <c r="A25" s="29" t="n">
        <v>15</v>
      </c>
      <c r="B25" s="29" t="n">
        <v>2</v>
      </c>
      <c r="C25" s="30" t="inlineStr">
        <is>
          <t>PERFUME PROUD OF YOU ABSOLUTE 100 ML D24 0022 9811</t>
        </is>
      </c>
      <c r="D25" s="31" t="n">
        <v>80</v>
      </c>
      <c r="E25" s="31" t="n">
        <v>160</v>
      </c>
      <c r="F25" s="29" t="inlineStr">
        <is>
          <t>40%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PERFUME OUD FOR GLORY LATTAFA 100 ML D24 0022 9811</t>
        </is>
      </c>
      <c r="D26" s="35" t="n">
        <v>150</v>
      </c>
      <c r="E26" s="35" t="n">
        <v>150</v>
      </c>
      <c r="F26" s="33" t="inlineStr">
        <is>
          <t>80%</t>
        </is>
      </c>
      <c r="G26" s="32" t="inlineStr">
        <is>
          <t>ver no ML</t>
        </is>
      </c>
    </row>
    <row r="27">
      <c r="A27" s="29" t="n">
        <v>17</v>
      </c>
      <c r="B27" s="29" t="n">
        <v>2</v>
      </c>
      <c r="C27" s="30" t="inlineStr">
        <is>
          <t>PERFUME LAUNO FOREVER BLUE 100 ML D24 0022 9811</t>
        </is>
      </c>
      <c r="D27" s="31" t="n">
        <v>70</v>
      </c>
      <c r="E27" s="31" t="n">
        <v>140</v>
      </c>
      <c r="F27" s="29" t="inlineStr">
        <is>
          <t>40%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PERFUME SUBLIME LATTAFA 100ML D24 0022 9811</t>
        </is>
      </c>
      <c r="D28" s="35" t="n">
        <v>140</v>
      </c>
      <c r="E28" s="35" t="n">
        <v>140</v>
      </c>
      <c r="F28" s="33" t="inlineStr">
        <is>
          <t>80%</t>
        </is>
      </c>
      <c r="G28" s="32" t="inlineStr">
        <is>
          <t>ver no ML</t>
        </is>
      </c>
    </row>
    <row r="29">
      <c r="A29" s="29" t="n">
        <v>19</v>
      </c>
      <c r="B29" s="29" t="n">
        <v>1</v>
      </c>
      <c r="C29" s="30" t="inlineStr">
        <is>
          <t>PERFUME SHAMS AL EMARAT KHUSUSI 100 ML D24 0022 9811</t>
        </is>
      </c>
      <c r="D29" s="31" t="n">
        <v>130</v>
      </c>
      <c r="E29" s="31" t="n">
        <v>130</v>
      </c>
      <c r="F29" s="29" t="inlineStr">
        <is>
          <t>60%</t>
        </is>
      </c>
      <c r="G29" s="32" t="inlineStr">
        <is>
          <t>ver no ML</t>
        </is>
      </c>
    </row>
    <row r="30">
      <c r="A30" s="22" t="n">
        <v>20</v>
      </c>
      <c r="B30" s="22" t="n">
        <v>10</v>
      </c>
      <c r="C30" s="23" t="inlineStr">
        <is>
          <t>PERFUME LACRADO VOL1 D2400215850</t>
        </is>
      </c>
      <c r="D30" s="24" t="inlineStr">
        <is>
          <t>—</t>
        </is>
      </c>
      <c r="E30" s="24" t="inlineStr">
        <is>
          <t>—</t>
        </is>
      </c>
      <c r="F30" s="22" t="inlineStr">
        <is>
          <t>s/ preço</t>
        </is>
      </c>
      <c r="G30" s="25" t="inlineStr">
        <is>
          <t>ver no ML</t>
        </is>
      </c>
    </row>
    <row r="31">
      <c r="C31" s="26" t="inlineStr">
        <is>
          <t>VALOR DE MERCADO TOTAL</t>
        </is>
      </c>
      <c r="D31" s="27" t="inlineStr"/>
      <c r="E31" s="28">
        <f>SUM(E11:E30)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67 — DIVERSOS</t>
        </is>
      </c>
      <c r="I1" s="15">
        <f>HYPERLINK("#'Índice'!A1","↩ voltar ao índice")</f>
        <v/>
      </c>
    </row>
    <row r="2">
      <c r="A2" s="2" t="inlineStr">
        <is>
          <t>Guarulhos (GRU)  ·  Edital 0800100/000006/2026 · 8ª RF (SP)</t>
        </is>
      </c>
    </row>
    <row r="4">
      <c r="A4" s="16" t="inlineStr">
        <is>
          <t>Preço mínimo (edital)</t>
        </is>
      </c>
      <c r="C4" s="17" t="n">
        <v>10500</v>
      </c>
    </row>
    <row r="5">
      <c r="A5" s="16" t="inlineStr">
        <is>
          <t>Valor de mercado (itens)</t>
        </is>
      </c>
      <c r="C5" s="18" t="n">
        <v>124586</v>
      </c>
    </row>
    <row r="6">
      <c r="A6" s="16" t="inlineStr">
        <is>
          <t>LANCE mínimo (conservador)</t>
        </is>
      </c>
      <c r="C6" s="19" t="n">
        <v>43605</v>
      </c>
    </row>
    <row r="7">
      <c r="A7" s="16" t="inlineStr">
        <is>
          <t>LANCE ideal</t>
        </is>
      </c>
      <c r="C7" s="19" t="n">
        <v>56687</v>
      </c>
    </row>
    <row r="8">
      <c r="A8" s="16" t="inlineStr">
        <is>
          <t>LANCE máximo (agressivo)</t>
        </is>
      </c>
      <c r="C8" s="20" t="n">
        <v>74129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156</v>
      </c>
      <c r="C11" s="30" t="inlineStr">
        <is>
          <t>CANIVETE CIVIVI - DIVERSOS MODELOS -- HAWB 045 9127 2845 AOF675804 VS. 1 A 3</t>
        </is>
      </c>
      <c r="D11" s="31" t="n">
        <v>350</v>
      </c>
      <c r="E11" s="31" t="n">
        <v>54600</v>
      </c>
      <c r="F11" s="29" t="inlineStr">
        <is>
          <t>65%</t>
        </is>
      </c>
      <c r="G11" s="32" t="inlineStr">
        <is>
          <t>ver no ML</t>
        </is>
      </c>
    </row>
    <row r="12">
      <c r="A12" s="33" t="n">
        <v>2</v>
      </c>
      <c r="B12" s="33" t="n">
        <v>3092</v>
      </c>
      <c r="C12" s="34" t="inlineStr">
        <is>
          <t>MINIATURA D24 0025 4774</t>
        </is>
      </c>
      <c r="D12" s="35" t="n">
        <v>15</v>
      </c>
      <c r="E12" s="35" t="n">
        <v>46380</v>
      </c>
      <c r="F12" s="33" t="inlineStr">
        <is>
          <t>25%</t>
        </is>
      </c>
      <c r="G12" s="32" t="inlineStr">
        <is>
          <t>ver no ML</t>
        </is>
      </c>
    </row>
    <row r="13">
      <c r="A13" s="29" t="n">
        <v>3</v>
      </c>
      <c r="B13" s="29" t="n">
        <v>314</v>
      </c>
      <c r="C13" s="30" t="inlineStr">
        <is>
          <t>JOGO ELETRONICO VARIADOS - PARA XBOX360, PS2 E PS3 D25 0008 9243</t>
        </is>
      </c>
      <c r="D13" s="31" t="n">
        <v>45</v>
      </c>
      <c r="E13" s="31" t="n">
        <v>14130</v>
      </c>
      <c r="F13" s="29" t="inlineStr">
        <is>
          <t>55%</t>
        </is>
      </c>
      <c r="G13" s="32" t="inlineStr">
        <is>
          <t>ver no ML</t>
        </is>
      </c>
    </row>
    <row r="14">
      <c r="A14" s="33" t="n">
        <v>4</v>
      </c>
      <c r="B14" s="33" t="n">
        <v>3</v>
      </c>
      <c r="C14" s="34" t="inlineStr">
        <is>
          <t>CANIVETE WE - WE22028-2 SOLID, LAMINA DE ACO, CABO EM TITANIO -- HAWB 045 9127 2845 AOF675804 V.2</t>
        </is>
      </c>
      <c r="D14" s="35" t="n">
        <v>1100</v>
      </c>
      <c r="E14" s="35" t="n">
        <v>3300</v>
      </c>
      <c r="F14" s="33" t="inlineStr">
        <is>
          <t>70%</t>
        </is>
      </c>
      <c r="G14" s="32" t="inlineStr">
        <is>
          <t>ver no ML</t>
        </is>
      </c>
    </row>
    <row r="15">
      <c r="A15" s="29" t="n">
        <v>5</v>
      </c>
      <c r="B15" s="29" t="n">
        <v>3</v>
      </c>
      <c r="C15" s="30" t="inlineStr">
        <is>
          <t>CANIVETE WE - WE22028-6 SOLID, LAMINA DE ACO, CABO EM TITANIO -- HAWB 045 9127 2845 AOF675804 V.2</t>
        </is>
      </c>
      <c r="D15" s="31" t="n">
        <v>1100</v>
      </c>
      <c r="E15" s="31" t="n">
        <v>3300</v>
      </c>
      <c r="F15" s="29" t="inlineStr">
        <is>
          <t>70%</t>
        </is>
      </c>
      <c r="G15" s="32" t="inlineStr">
        <is>
          <t>ver no ML</t>
        </is>
      </c>
    </row>
    <row r="16">
      <c r="A16" s="33" t="n">
        <v>6</v>
      </c>
      <c r="B16" s="33" t="n">
        <v>10</v>
      </c>
      <c r="C16" s="34" t="inlineStr">
        <is>
          <t>DISCO FONOGRAFICO - LP DISCO VINIL BANDA GHOST, ALBUM SKELETA 075 6405 0921 1834540621</t>
        </is>
      </c>
      <c r="D16" s="35" t="n">
        <v>170</v>
      </c>
      <c r="E16" s="35" t="n">
        <v>1700</v>
      </c>
      <c r="F16" s="33" t="inlineStr">
        <is>
          <t>75%</t>
        </is>
      </c>
      <c r="G16" s="32" t="inlineStr">
        <is>
          <t>ver no ML</t>
        </is>
      </c>
    </row>
    <row r="17">
      <c r="A17" s="29" t="n">
        <v>7</v>
      </c>
      <c r="B17" s="29" t="n">
        <v>3</v>
      </c>
      <c r="C17" s="30" t="inlineStr">
        <is>
          <t>CANIVETE WE - WE19068J-2 BANTER WHARNCLIFFE -- HAWB 045 9127 2845 AOF675804 V.2</t>
        </is>
      </c>
      <c r="D17" s="31" t="n">
        <v>280</v>
      </c>
      <c r="E17" s="31" t="n">
        <v>840</v>
      </c>
      <c r="F17" s="29" t="inlineStr">
        <is>
          <t>55%</t>
        </is>
      </c>
      <c r="G17" s="32" t="inlineStr">
        <is>
          <t>ver no ML</t>
        </is>
      </c>
    </row>
    <row r="18">
      <c r="A18" s="33" t="n">
        <v>8</v>
      </c>
      <c r="B18" s="33" t="n">
        <v>21</v>
      </c>
      <c r="C18" s="34" t="inlineStr">
        <is>
          <t>CLIP PARA CANIVETE (PARA PRENDER NA ROUPA) - BLACK T001D -- HAWB 045 9127 2845 AOF675804 V.2</t>
        </is>
      </c>
      <c r="D18" s="35" t="n">
        <v>8</v>
      </c>
      <c r="E18" s="35" t="n">
        <v>168</v>
      </c>
      <c r="F18" s="33" t="inlineStr">
        <is>
          <t>50%</t>
        </is>
      </c>
      <c r="G18" s="32" t="inlineStr">
        <is>
          <t>ver no ML</t>
        </is>
      </c>
    </row>
    <row r="19">
      <c r="A19" s="29" t="n">
        <v>9</v>
      </c>
      <c r="B19" s="29" t="n">
        <v>21</v>
      </c>
      <c r="C19" s="30" t="inlineStr">
        <is>
          <t>CLIP PARA CANIVETE (PARA PRENDER NA ROUPA) - PLAIN T001C -- HAWB 045 9127 2845 AOF675804 V.2</t>
        </is>
      </c>
      <c r="D19" s="31" t="n">
        <v>8</v>
      </c>
      <c r="E19" s="31" t="n">
        <v>168</v>
      </c>
      <c r="F19" s="29" t="inlineStr">
        <is>
          <t>50%</t>
        </is>
      </c>
      <c r="G19" s="32" t="inlineStr">
        <is>
          <t>ver no ML</t>
        </is>
      </c>
    </row>
    <row r="20">
      <c r="A20" s="22" t="n">
        <v>10</v>
      </c>
      <c r="B20" s="22" t="n">
        <v>173</v>
      </c>
      <c r="C20" s="23" t="inlineStr">
        <is>
          <t>MINIATURAS DE CARROS, MOTO, CAMINHAO E ONIBUS D24 0021 6074</t>
        </is>
      </c>
      <c r="D20" s="24" t="inlineStr">
        <is>
          <t>—</t>
        </is>
      </c>
      <c r="E20" s="24" t="inlineStr">
        <is>
          <t>—</t>
        </is>
      </c>
      <c r="F20" s="22" t="inlineStr">
        <is>
          <t>s/ preço</t>
        </is>
      </c>
      <c r="G20" s="25" t="inlineStr">
        <is>
          <t>ver no ML</t>
        </is>
      </c>
    </row>
    <row r="21">
      <c r="A21" s="22" t="n">
        <v>11</v>
      </c>
      <c r="B21" s="22" t="n">
        <v>50</v>
      </c>
      <c r="C21" s="23" t="inlineStr">
        <is>
          <t>MOEDA (COLECIONAVEL) 10YR ANNIVERSARY - MADE BETTER SINCE 2014 -- HAWB 045 9127 2845 AOF675804 V.2</t>
        </is>
      </c>
      <c r="D21" s="24" t="inlineStr">
        <is>
          <t>—</t>
        </is>
      </c>
      <c r="E21" s="24" t="inlineStr">
        <is>
          <t>—</t>
        </is>
      </c>
      <c r="F21" s="22" t="inlineStr">
        <is>
          <t>s/ preço</t>
        </is>
      </c>
      <c r="G21" s="25" t="inlineStr">
        <is>
          <t>ver no ML</t>
        </is>
      </c>
    </row>
    <row r="22">
      <c r="C22" s="26" t="inlineStr">
        <is>
          <t>VALOR DE MERCADO TOTAL</t>
        </is>
      </c>
      <c r="D22" s="27" t="inlineStr"/>
      <c r="E22" s="28">
        <f>SUM(E11:E21)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3 — ELETRÔNICO/ÁUDIO/VÍDEO</t>
        </is>
      </c>
      <c r="I1" s="15">
        <f>HYPERLINK("#'Índice'!A1","↩ voltar ao índice")</f>
        <v/>
      </c>
    </row>
    <row r="2">
      <c r="A2" s="2" t="inlineStr">
        <is>
          <t>Londrina  ·  Edital 0900100/000007/2026 · 9ª RF (PR/SC)</t>
        </is>
      </c>
    </row>
    <row r="4">
      <c r="A4" s="16" t="inlineStr">
        <is>
          <t>Preço mínimo (edital)</t>
        </is>
      </c>
      <c r="C4" s="17" t="n">
        <v>75500</v>
      </c>
    </row>
    <row r="5">
      <c r="A5" s="16" t="inlineStr">
        <is>
          <t>Valor de mercado (itens)</t>
        </is>
      </c>
      <c r="C5" s="18" t="n">
        <v>159840</v>
      </c>
    </row>
    <row r="6">
      <c r="A6" s="16" t="inlineStr">
        <is>
          <t>LANCE mínimo (conservador)</t>
        </is>
      </c>
      <c r="C6" s="19" t="n">
        <v>55944</v>
      </c>
    </row>
    <row r="7">
      <c r="A7" s="16" t="inlineStr">
        <is>
          <t>LANCE ideal</t>
        </is>
      </c>
      <c r="C7" s="19" t="n">
        <v>72727</v>
      </c>
    </row>
    <row r="8">
      <c r="A8" s="16" t="inlineStr">
        <is>
          <t>LANCE máximo (agressivo)</t>
        </is>
      </c>
      <c r="C8" s="20" t="n">
        <v>95105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472</v>
      </c>
      <c r="C11" s="30" t="inlineStr">
        <is>
          <t>SSD (SOLID STATE DRIVE) KEEPDATA 256GB</t>
        </is>
      </c>
      <c r="D11" s="31" t="n">
        <v>100</v>
      </c>
      <c r="E11" s="31" t="n">
        <v>47200</v>
      </c>
      <c r="F11" s="29" t="inlineStr">
        <is>
          <t>60%</t>
        </is>
      </c>
      <c r="G11" s="32" t="inlineStr">
        <is>
          <t>ver no ML</t>
        </is>
      </c>
    </row>
    <row r="12">
      <c r="A12" s="33" t="n">
        <v>2</v>
      </c>
      <c r="B12" s="33" t="n">
        <v>500</v>
      </c>
      <c r="C12" s="34" t="inlineStr">
        <is>
          <t>SSD (SOLID STATE DRIVE) KEEPDATA 120GB</t>
        </is>
      </c>
      <c r="D12" s="35" t="n">
        <v>55</v>
      </c>
      <c r="E12" s="35" t="n">
        <v>27500</v>
      </c>
      <c r="F12" s="33" t="inlineStr">
        <is>
          <t>60%</t>
        </is>
      </c>
      <c r="G12" s="32" t="inlineStr">
        <is>
          <t>ver no ML</t>
        </is>
      </c>
    </row>
    <row r="13">
      <c r="A13" s="29" t="n">
        <v>3</v>
      </c>
      <c r="B13" s="29" t="n">
        <v>20</v>
      </c>
      <c r="C13" s="30" t="inlineStr">
        <is>
          <t>FONE DE OUVIDO APPLE AIRPODS 4</t>
        </is>
      </c>
      <c r="D13" s="31" t="n">
        <v>950</v>
      </c>
      <c r="E13" s="31" t="n">
        <v>19000</v>
      </c>
      <c r="F13" s="29" t="inlineStr">
        <is>
          <t>65%</t>
        </is>
      </c>
      <c r="G13" s="32" t="inlineStr">
        <is>
          <t>ver no ML</t>
        </is>
      </c>
    </row>
    <row r="14">
      <c r="A14" s="33" t="n">
        <v>4</v>
      </c>
      <c r="B14" s="33" t="n">
        <v>10</v>
      </c>
      <c r="C14" s="34" t="inlineStr">
        <is>
          <t>FONE DE OUVIDO STEEL SERIES ARCTIS NOVA PRO</t>
        </is>
      </c>
      <c r="D14" s="35" t="n">
        <v>1600</v>
      </c>
      <c r="E14" s="35" t="n">
        <v>16000</v>
      </c>
      <c r="F14" s="33" t="inlineStr">
        <is>
          <t>60%</t>
        </is>
      </c>
      <c r="G14" s="32" t="inlineStr">
        <is>
          <t>ver no ML</t>
        </is>
      </c>
    </row>
    <row r="15">
      <c r="A15" s="29" t="n">
        <v>5</v>
      </c>
      <c r="B15" s="29" t="n">
        <v>173</v>
      </c>
      <c r="C15" s="30" t="inlineStr">
        <is>
          <t>SSD (SOLID STATE DRIVE) KEEPDATA 128GB</t>
        </is>
      </c>
      <c r="D15" s="31" t="n">
        <v>80</v>
      </c>
      <c r="E15" s="31" t="n">
        <v>13840</v>
      </c>
      <c r="F15" s="29" t="inlineStr">
        <is>
          <t>60%</t>
        </is>
      </c>
      <c r="G15" s="32" t="inlineStr">
        <is>
          <t>ver no ML</t>
        </is>
      </c>
    </row>
    <row r="16">
      <c r="A16" s="33" t="n">
        <v>6</v>
      </c>
      <c r="B16" s="33" t="n">
        <v>5</v>
      </c>
      <c r="C16" s="34" t="inlineStr">
        <is>
          <t>OCULOS 3D META QUEST 3S 128GB</t>
        </is>
      </c>
      <c r="D16" s="35" t="n">
        <v>2200</v>
      </c>
      <c r="E16" s="35" t="n">
        <v>11000</v>
      </c>
      <c r="F16" s="33" t="inlineStr">
        <is>
          <t>75%</t>
        </is>
      </c>
      <c r="G16" s="32" t="inlineStr">
        <is>
          <t>ver no ML</t>
        </is>
      </c>
    </row>
    <row r="17">
      <c r="A17" s="29" t="n">
        <v>7</v>
      </c>
      <c r="B17" s="29" t="n">
        <v>3</v>
      </c>
      <c r="C17" s="30" t="inlineStr">
        <is>
          <t>CAMERA FOTOGRAFICA CANON EOS R100 18-45MM</t>
        </is>
      </c>
      <c r="D17" s="31" t="n">
        <v>3000</v>
      </c>
      <c r="E17" s="31" t="n">
        <v>9000</v>
      </c>
      <c r="F17" s="29" t="inlineStr">
        <is>
          <t>62%</t>
        </is>
      </c>
      <c r="G17" s="32" t="inlineStr">
        <is>
          <t>ver no ML</t>
        </is>
      </c>
    </row>
    <row r="18">
      <c r="A18" s="33" t="n">
        <v>8</v>
      </c>
      <c r="B18" s="33" t="n">
        <v>100</v>
      </c>
      <c r="C18" s="34" t="inlineStr">
        <is>
          <t>FITA DAT HP LTO-4 1.6TB</t>
        </is>
      </c>
      <c r="D18" s="35" t="n">
        <v>55</v>
      </c>
      <c r="E18" s="35" t="n">
        <v>5500</v>
      </c>
      <c r="F18" s="33" t="inlineStr">
        <is>
          <t>52%</t>
        </is>
      </c>
      <c r="G18" s="32" t="inlineStr">
        <is>
          <t>ver no ML</t>
        </is>
      </c>
    </row>
    <row r="19">
      <c r="A19" s="29" t="n">
        <v>9</v>
      </c>
      <c r="B19" s="29" t="n">
        <v>60</v>
      </c>
      <c r="C19" s="30" t="inlineStr">
        <is>
          <t>FITA DAT HP LTO-5 3TB</t>
        </is>
      </c>
      <c r="D19" s="31" t="n">
        <v>60</v>
      </c>
      <c r="E19" s="31" t="n">
        <v>3600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20</v>
      </c>
      <c r="C20" s="34" t="inlineStr">
        <is>
          <t>FITA DAT FUJIFILM LTO ULTRIUM 5 1.5TB</t>
        </is>
      </c>
      <c r="D20" s="35" t="n">
        <v>90</v>
      </c>
      <c r="E20" s="35" t="n">
        <v>1800</v>
      </c>
      <c r="F20" s="33" t="inlineStr">
        <is>
          <t>60%</t>
        </is>
      </c>
      <c r="G20" s="32" t="inlineStr">
        <is>
          <t>ver no ML</t>
        </is>
      </c>
    </row>
    <row r="21">
      <c r="A21" s="29" t="n">
        <v>11</v>
      </c>
      <c r="B21" s="29" t="n">
        <v>61</v>
      </c>
      <c r="C21" s="30" t="inlineStr">
        <is>
          <t>ADAPTADOR DE VOLTAGEM</t>
        </is>
      </c>
      <c r="D21" s="31" t="n">
        <v>25</v>
      </c>
      <c r="E21" s="31" t="n">
        <v>1525</v>
      </c>
      <c r="F21" s="29" t="inlineStr">
        <is>
          <t>45%</t>
        </is>
      </c>
      <c r="G21" s="32" t="inlineStr">
        <is>
          <t>ver no ML</t>
        </is>
      </c>
    </row>
    <row r="22">
      <c r="A22" s="33" t="n">
        <v>12</v>
      </c>
      <c r="B22" s="33" t="n">
        <v>20</v>
      </c>
      <c r="C22" s="34" t="inlineStr">
        <is>
          <t>FITA DAT FUJIFILM LTO ULTRIUM 4 800GB</t>
        </is>
      </c>
      <c r="D22" s="35" t="n">
        <v>40</v>
      </c>
      <c r="E22" s="35" t="n">
        <v>800</v>
      </c>
      <c r="F22" s="33" t="inlineStr">
        <is>
          <t>60%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RASTREADOR APPLE AIRTAG EMBALAGEM COM 4 UNIDADE</t>
        </is>
      </c>
      <c r="D23" s="31" t="n">
        <v>800</v>
      </c>
      <c r="E23" s="31" t="n">
        <v>800</v>
      </c>
      <c r="F23" s="29" t="inlineStr">
        <is>
          <t>65%</t>
        </is>
      </c>
      <c r="G23" s="32" t="inlineStr">
        <is>
          <t>ver no ML</t>
        </is>
      </c>
    </row>
    <row r="24">
      <c r="A24" s="33" t="n">
        <v>14</v>
      </c>
      <c r="B24" s="33" t="n">
        <v>10</v>
      </c>
      <c r="C24" s="34" t="inlineStr">
        <is>
          <t>MEMORIA RAM PARA COMPUTADOR NAO IDENTIFICADO</t>
        </is>
      </c>
      <c r="D24" s="35" t="n">
        <v>60</v>
      </c>
      <c r="E24" s="35" t="n">
        <v>600</v>
      </c>
      <c r="F24" s="33" t="inlineStr">
        <is>
          <t>30%</t>
        </is>
      </c>
      <c r="G24" s="32" t="inlineStr">
        <is>
          <t>ver no ML</t>
        </is>
      </c>
    </row>
    <row r="25">
      <c r="A25" s="29" t="n">
        <v>15</v>
      </c>
      <c r="B25" s="29" t="n">
        <v>2</v>
      </c>
      <c r="C25" s="30" t="inlineStr">
        <is>
          <t>CONTROLE DE VIDEO GAME XBOX CARBON BLACK</t>
        </is>
      </c>
      <c r="D25" s="31" t="n">
        <v>240</v>
      </c>
      <c r="E25" s="31" t="n">
        <v>480</v>
      </c>
      <c r="F25" s="29" t="inlineStr">
        <is>
          <t>75%</t>
        </is>
      </c>
      <c r="G25" s="32" t="inlineStr">
        <is>
          <t>ver no ML</t>
        </is>
      </c>
    </row>
    <row r="26">
      <c r="A26" s="33" t="n">
        <v>16</v>
      </c>
      <c r="B26" s="33" t="n">
        <v>4</v>
      </c>
      <c r="C26" s="34" t="inlineStr">
        <is>
          <t>MALA DE VIAGEM</t>
        </is>
      </c>
      <c r="D26" s="35" t="n">
        <v>110</v>
      </c>
      <c r="E26" s="35" t="n">
        <v>440</v>
      </c>
      <c r="F26" s="33" t="inlineStr">
        <is>
          <t>50%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MALA DE VIAGEM KIT COM 3 MALAS</t>
        </is>
      </c>
      <c r="D27" s="31" t="n">
        <v>280</v>
      </c>
      <c r="E27" s="31" t="n">
        <v>280</v>
      </c>
      <c r="F27" s="29" t="inlineStr">
        <is>
          <t>60%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CONTROLE DE VIDEO GAME SONY PS5</t>
        </is>
      </c>
      <c r="D28" s="35" t="n">
        <v>200</v>
      </c>
      <c r="E28" s="35" t="n">
        <v>200</v>
      </c>
      <c r="F28" s="33" t="inlineStr">
        <is>
          <t>65%</t>
        </is>
      </c>
      <c r="G28" s="32" t="inlineStr">
        <is>
          <t>ver no ML</t>
        </is>
      </c>
    </row>
    <row r="29">
      <c r="A29" s="29" t="n">
        <v>19</v>
      </c>
      <c r="B29" s="29" t="n">
        <v>5</v>
      </c>
      <c r="C29" s="30" t="inlineStr">
        <is>
          <t>ADAPTADOR DE VOLTAGEM USB-C</t>
        </is>
      </c>
      <c r="D29" s="31" t="n">
        <v>25</v>
      </c>
      <c r="E29" s="31" t="n">
        <v>125</v>
      </c>
      <c r="F29" s="29" t="inlineStr">
        <is>
          <t>45%</t>
        </is>
      </c>
      <c r="G29" s="32" t="inlineStr">
        <is>
          <t>ver no ML</t>
        </is>
      </c>
    </row>
    <row r="30">
      <c r="A30" s="33" t="n">
        <v>20</v>
      </c>
      <c r="B30" s="33" t="n">
        <v>1</v>
      </c>
      <c r="C30" s="34" t="inlineStr">
        <is>
          <t>MALA DE VIAGEM KIT COM NECESSAIRE</t>
        </is>
      </c>
      <c r="D30" s="35" t="n">
        <v>90</v>
      </c>
      <c r="E30" s="35" t="n">
        <v>90</v>
      </c>
      <c r="F30" s="33" t="inlineStr">
        <is>
          <t>45%</t>
        </is>
      </c>
      <c r="G30" s="32" t="inlineStr">
        <is>
          <t>ver no ML</t>
        </is>
      </c>
    </row>
    <row r="31">
      <c r="A31" s="29" t="n">
        <v>21</v>
      </c>
      <c r="B31" s="29" t="n">
        <v>1</v>
      </c>
      <c r="C31" s="30" t="inlineStr">
        <is>
          <t>FONE DE OUVIDO QCY T1.3 X</t>
        </is>
      </c>
      <c r="D31" s="31" t="n">
        <v>60</v>
      </c>
      <c r="E31" s="31" t="n">
        <v>60</v>
      </c>
      <c r="F31" s="29" t="inlineStr">
        <is>
          <t>65%</t>
        </is>
      </c>
      <c r="G31" s="32" t="inlineStr">
        <is>
          <t>ver no ML</t>
        </is>
      </c>
    </row>
    <row r="32">
      <c r="C32" s="26" t="inlineStr">
        <is>
          <t>VALOR DE MERCADO TOTAL</t>
        </is>
      </c>
      <c r="D32" s="27" t="inlineStr"/>
      <c r="E32" s="28">
        <f>SUM(E11:E31)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4 — ELETRODOMÉSTICO</t>
        </is>
      </c>
      <c r="I1" s="15">
        <f>HYPERLINK("#'Índice'!A1","↩ voltar ao índice")</f>
        <v/>
      </c>
    </row>
    <row r="2">
      <c r="A2" s="2" t="inlineStr">
        <is>
          <t>Londrina  ·  Edital 0900100/000007/2026 · 9ª RF (PR/SC)</t>
        </is>
      </c>
    </row>
    <row r="4">
      <c r="A4" s="16" t="inlineStr">
        <is>
          <t>Preço mínimo (edital)</t>
        </is>
      </c>
      <c r="C4" s="17" t="n">
        <v>21500</v>
      </c>
    </row>
    <row r="5">
      <c r="A5" s="16" t="inlineStr">
        <is>
          <t>Valor de mercado (itens)</t>
        </is>
      </c>
      <c r="C5" s="18" t="n">
        <v>94150</v>
      </c>
    </row>
    <row r="6">
      <c r="A6" s="16" t="inlineStr">
        <is>
          <t>LANCE mínimo (conservador)</t>
        </is>
      </c>
      <c r="C6" s="19" t="n">
        <v>32952</v>
      </c>
    </row>
    <row r="7">
      <c r="A7" s="16" t="inlineStr">
        <is>
          <t>LANCE ideal</t>
        </is>
      </c>
      <c r="C7" s="19" t="n">
        <v>42838</v>
      </c>
    </row>
    <row r="8">
      <c r="A8" s="16" t="inlineStr">
        <is>
          <t>LANCE máximo (agressivo)</t>
        </is>
      </c>
      <c r="C8" s="20" t="n">
        <v>56019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8</v>
      </c>
      <c r="C11" s="30" t="inlineStr">
        <is>
          <t>ASPIRADOR DE PO XIAOMI ROBOT VACUUM 5////66660;A2AA4F5U602501; 66660;A2AA4F5U601425; 66660;A2AA4F5UA02133; 66660;A2AA4F5UE01331; 66660;A2AA4F5V401089; 66660;A2AA4F5U802067; 66660;A2AA4F5U602174; 66660;A2AA4F5UE01887</t>
        </is>
      </c>
      <c r="D11" s="31" t="n">
        <v>3500</v>
      </c>
      <c r="E11" s="31" t="n">
        <v>28000</v>
      </c>
      <c r="F11" s="29" t="inlineStr">
        <is>
          <t>65%</t>
        </is>
      </c>
      <c r="G11" s="32" t="inlineStr">
        <is>
          <t>ver no ML</t>
        </is>
      </c>
    </row>
    <row r="12">
      <c r="A12" s="33" t="n">
        <v>2</v>
      </c>
      <c r="B12" s="33" t="n">
        <v>7</v>
      </c>
      <c r="C12" s="34" t="inlineStr">
        <is>
          <t>ASPIRADOR DE PO XIAOMI ROBOT VACUUM S20 PLUS////54785;DUAA8F5UU00877; 54785;DUAA8F5U206337; 54784;DUAA8F5UT01635; 54784;DUAA8F5UM05126; 54785;DUAA8F5RP03698; 54785;DUAA8F5RP03756; 54783;DUAA8F5UZ00542</t>
        </is>
      </c>
      <c r="D12" s="35" t="n">
        <v>1600</v>
      </c>
      <c r="E12" s="35" t="n">
        <v>11200</v>
      </c>
      <c r="F12" s="33" t="inlineStr">
        <is>
          <t>65%</t>
        </is>
      </c>
      <c r="G12" s="32" t="inlineStr">
        <is>
          <t>ver no ML</t>
        </is>
      </c>
    </row>
    <row r="13">
      <c r="A13" s="29" t="n">
        <v>3</v>
      </c>
      <c r="B13" s="29" t="n">
        <v>5</v>
      </c>
      <c r="C13" s="30" t="inlineStr">
        <is>
          <t>ASPIRADOR DE PO XIAOMI ROBOT VACUUM 5 PRO////65239;A2AA4F5W401152; 65239;A2AA4F5V900980; 65239;A2AA4F5V901732; 65239;A2AA4F5V901709; 65239;A2AA4F5W401184</t>
        </is>
      </c>
      <c r="D13" s="31" t="n">
        <v>1300</v>
      </c>
      <c r="E13" s="31" t="n">
        <v>6500</v>
      </c>
      <c r="F13" s="29" t="inlineStr">
        <is>
          <t>70%</t>
        </is>
      </c>
      <c r="G13" s="32" t="inlineStr">
        <is>
          <t>ver no ML</t>
        </is>
      </c>
    </row>
    <row r="14">
      <c r="A14" s="33" t="n">
        <v>4</v>
      </c>
      <c r="B14" s="33" t="n">
        <v>5</v>
      </c>
      <c r="C14" s="34" t="inlineStr">
        <is>
          <t>ASPIRADOR DE PO XIAOMI ROBOT VACUUM S40 PRO////67955;B2AE7F5WD82195; 67955;B2AE7F5V538071; 67952;B2AE7F5WB01102; 67955;B2AE7F5WD85041; 67955;B2AE7F5WD82679</t>
        </is>
      </c>
      <c r="D14" s="35" t="n">
        <v>1200</v>
      </c>
      <c r="E14" s="35" t="n">
        <v>6000</v>
      </c>
      <c r="F14" s="33" t="inlineStr">
        <is>
          <t>70%</t>
        </is>
      </c>
      <c r="G14" s="32" t="inlineStr">
        <is>
          <t>ver no ML</t>
        </is>
      </c>
    </row>
    <row r="15">
      <c r="A15" s="29" t="n">
        <v>5</v>
      </c>
      <c r="B15" s="29" t="n">
        <v>2</v>
      </c>
      <c r="C15" s="30" t="inlineStr">
        <is>
          <t>ASPIRADOR DE PO XIAOMI ROBOT VACUUM X20 PRO////57873;DUAA8F5QJ00464; 57873;DUAA8F5UC00873</t>
        </is>
      </c>
      <c r="D15" s="31" t="n">
        <v>2900</v>
      </c>
      <c r="E15" s="31" t="n">
        <v>5800</v>
      </c>
      <c r="F15" s="29" t="inlineStr">
        <is>
          <t>70%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ASPIRADOR DE PO XIAOMI ROBOT VACUUM 5 PRO////65235;A2AA4F5V400171</t>
        </is>
      </c>
      <c r="D16" s="35" t="n">
        <v>4000</v>
      </c>
      <c r="E16" s="35" t="n">
        <v>4000</v>
      </c>
      <c r="F16" s="33" t="inlineStr">
        <is>
          <t>65%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ASPIRADOR DE PO XIAOMI ROBOT VACUUM 5 PRO////65239;A2AA4F5W401177</t>
        </is>
      </c>
      <c r="D17" s="31" t="n">
        <v>4000</v>
      </c>
      <c r="E17" s="31" t="n">
        <v>4000</v>
      </c>
      <c r="F17" s="29" t="inlineStr">
        <is>
          <t>65%</t>
        </is>
      </c>
      <c r="G17" s="32" t="inlineStr">
        <is>
          <t>ver no ML</t>
        </is>
      </c>
    </row>
    <row r="18">
      <c r="A18" s="33" t="n">
        <v>8</v>
      </c>
      <c r="B18" s="33" t="n">
        <v>3</v>
      </c>
      <c r="C18" s="34" t="inlineStr">
        <is>
          <t>ASPIRADOR DE PO XIAOMI ROBOT VACUUM S40////66889;ELAPUF5WM00010; 66889;ELAPUF5WR00210;66889;ELAPUF5WM02947</t>
        </is>
      </c>
      <c r="D18" s="35" t="n">
        <v>1300</v>
      </c>
      <c r="E18" s="35" t="n">
        <v>3900</v>
      </c>
      <c r="F18" s="33" t="inlineStr">
        <is>
          <t>66%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ASPIRADOR DE PO XIAOMI ROBOT VACUUM X20 MAX////59071;DUAA8F5W702982</t>
        </is>
      </c>
      <c r="D19" s="31" t="n">
        <v>3800</v>
      </c>
      <c r="E19" s="31" t="n">
        <v>3800</v>
      </c>
      <c r="F19" s="29" t="inlineStr">
        <is>
          <t>70%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ASPIRADOR DE PO XIAOMI ROBOT VACUUM X20 MAX////59071;DUAA8F5VM00878</t>
        </is>
      </c>
      <c r="D20" s="35" t="n">
        <v>3800</v>
      </c>
      <c r="E20" s="35" t="n">
        <v>3800</v>
      </c>
      <c r="F20" s="33" t="inlineStr">
        <is>
          <t>70%</t>
        </is>
      </c>
      <c r="G20" s="32" t="inlineStr">
        <is>
          <t>ver no ML</t>
        </is>
      </c>
    </row>
    <row r="21">
      <c r="A21" s="29" t="n">
        <v>11</v>
      </c>
      <c r="B21" s="29" t="n">
        <v>2</v>
      </c>
      <c r="C21" s="30" t="inlineStr">
        <is>
          <t>ASPIRADOR DE PO XIAOMI ROBOT VACUUM H40////65469;ELAPUF5WJ01174; 65469;ELAPUF5WJ01364</t>
        </is>
      </c>
      <c r="D21" s="31" t="n">
        <v>1600</v>
      </c>
      <c r="E21" s="31" t="n">
        <v>3200</v>
      </c>
      <c r="F21" s="29" t="inlineStr">
        <is>
          <t>75%</t>
        </is>
      </c>
      <c r="G21" s="32" t="inlineStr">
        <is>
          <t>ver no ML</t>
        </is>
      </c>
    </row>
    <row r="22">
      <c r="A22" s="33" t="n">
        <v>12</v>
      </c>
      <c r="B22" s="33" t="n">
        <v>2</v>
      </c>
      <c r="C22" s="34" t="inlineStr">
        <is>
          <t>ASPIRADOR DE PO XIAOMI ROBOT VACUUM S20 PLUS////54785;DUAA8F5RU06896; 54785;DUAA8F5RW00683</t>
        </is>
      </c>
      <c r="D22" s="35" t="n">
        <v>1300</v>
      </c>
      <c r="E22" s="35" t="n">
        <v>2600</v>
      </c>
      <c r="F22" s="33" t="inlineStr">
        <is>
          <t>70%</t>
        </is>
      </c>
      <c r="G22" s="32" t="inlineStr">
        <is>
          <t>ver no ML</t>
        </is>
      </c>
    </row>
    <row r="23">
      <c r="A23" s="29" t="n">
        <v>13</v>
      </c>
      <c r="B23" s="29" t="n">
        <v>2</v>
      </c>
      <c r="C23" s="30" t="inlineStr">
        <is>
          <t>ASPIRADOR DE PO XIAOMI ROBOT VACUUM S20 PLUS////54783;DUAA8F5TY01806; 54782;DUAA8F5V105700</t>
        </is>
      </c>
      <c r="D23" s="31" t="n">
        <v>1300</v>
      </c>
      <c r="E23" s="31" t="n">
        <v>2600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ASPIRADOR DE PO XIAOMI ROBOT VACUUM X20 PRO////57873;DUAA8F5UM00327</t>
        </is>
      </c>
      <c r="D24" s="35" t="n">
        <v>2500</v>
      </c>
      <c r="E24" s="35" t="n">
        <v>2500</v>
      </c>
      <c r="F24" s="33" t="inlineStr">
        <is>
          <t>55%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ASPIRADOR DE PO XIAOMI ROBOT VACUUM X20 PRO////57873;DUAA8F5QP10384</t>
        </is>
      </c>
      <c r="D25" s="31" t="n">
        <v>2500</v>
      </c>
      <c r="E25" s="31" t="n">
        <v>2500</v>
      </c>
      <c r="F25" s="29" t="inlineStr">
        <is>
          <t>55%</t>
        </is>
      </c>
      <c r="G25" s="32" t="inlineStr">
        <is>
          <t>ver no ML</t>
        </is>
      </c>
    </row>
    <row r="26">
      <c r="A26" s="33" t="n">
        <v>16</v>
      </c>
      <c r="B26" s="33" t="n">
        <v>2</v>
      </c>
      <c r="C26" s="34" t="inlineStr">
        <is>
          <t>ASPIRADOR DE PO XIAOMI ROBOT VACUUM S40C////61138;ELAPUF5RV01858; 61138;ELAPUF5SC01090</t>
        </is>
      </c>
      <c r="D26" s="35" t="n">
        <v>700</v>
      </c>
      <c r="E26" s="35" t="n">
        <v>1400</v>
      </c>
      <c r="F26" s="33" t="inlineStr">
        <is>
          <t>65%</t>
        </is>
      </c>
      <c r="G26" s="32" t="inlineStr">
        <is>
          <t>ver no ML</t>
        </is>
      </c>
    </row>
    <row r="27">
      <c r="A27" s="29" t="n">
        <v>17</v>
      </c>
      <c r="B27" s="29" t="n">
        <v>2</v>
      </c>
      <c r="C27" s="30" t="inlineStr">
        <is>
          <t>ASPIRADOR DE PO XIAOMI ROBOT VACUUM S40////66889;ELAPUF5WM03474; 66892;ELAPUF5VJ02076</t>
        </is>
      </c>
      <c r="D27" s="31" t="n">
        <v>650</v>
      </c>
      <c r="E27" s="31" t="n">
        <v>1300</v>
      </c>
      <c r="F27" s="29" t="inlineStr">
        <is>
          <t>60%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ASPIRADOR DE PO XIAOMI ROBOT VACUUM S40////66889;ELAPUF5WM00159</t>
        </is>
      </c>
      <c r="D28" s="35" t="n">
        <v>1050</v>
      </c>
      <c r="E28" s="35" t="n">
        <v>1050</v>
      </c>
      <c r="F28" s="33" t="inlineStr">
        <is>
          <t>65%</t>
        </is>
      </c>
      <c r="G28" s="32" t="inlineStr">
        <is>
          <t>ver no ML</t>
        </is>
      </c>
    </row>
    <row r="29">
      <c r="C29" s="26" t="inlineStr">
        <is>
          <t>VALOR DE MERCADO TOTAL</t>
        </is>
      </c>
      <c r="D29" s="27" t="inlineStr"/>
      <c r="E29" s="28">
        <f>SUM(E11:E28)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77 — APARELHO/PEÇA MECÂNICA</t>
        </is>
      </c>
      <c r="I1" s="15">
        <f>HYPERLINK("#'Índice'!A1","↩ voltar ao índice")</f>
        <v/>
      </c>
    </row>
    <row r="2">
      <c r="A2" s="2" t="inlineStr">
        <is>
          <t>Movecta  ·  Edital 0800100/000006/2026 · 8ª RF (SP)</t>
        </is>
      </c>
    </row>
    <row r="4">
      <c r="A4" s="16" t="inlineStr">
        <is>
          <t>Preço mínimo (edital)</t>
        </is>
      </c>
      <c r="C4" s="17" t="n">
        <v>5500</v>
      </c>
    </row>
    <row r="5">
      <c r="A5" s="16" t="inlineStr">
        <is>
          <t>Valor de mercado (itens)</t>
        </is>
      </c>
      <c r="C5" s="18" t="n">
        <v>12000</v>
      </c>
    </row>
    <row r="6">
      <c r="A6" s="16" t="inlineStr">
        <is>
          <t>LANCE mínimo (conservador)</t>
        </is>
      </c>
      <c r="C6" s="19" t="n">
        <v>4200</v>
      </c>
    </row>
    <row r="7">
      <c r="A7" s="16" t="inlineStr">
        <is>
          <t>LANCE ideal</t>
        </is>
      </c>
      <c r="C7" s="19" t="n">
        <v>5460</v>
      </c>
    </row>
    <row r="8">
      <c r="A8" s="16" t="inlineStr">
        <is>
          <t>LANCE máximo (agressivo)</t>
        </is>
      </c>
      <c r="C8" s="20" t="n">
        <v>7140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2</v>
      </c>
      <c r="C11" s="30" t="inlineStr">
        <is>
          <t>COMPRESSOR DE AR HITACHI 1000EH-160D3</t>
        </is>
      </c>
      <c r="D11" s="31" t="n">
        <v>3500</v>
      </c>
      <c r="E11" s="31" t="n">
        <v>7000</v>
      </c>
      <c r="F11" s="29" t="inlineStr">
        <is>
          <t>40%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MAQUINA DE GRAVACAO A LASER 400X600MM - 220V/50HZ/50W - MODELO 4060 LASER - NS: 20230713</t>
        </is>
      </c>
      <c r="D12" s="35" t="n">
        <v>5000</v>
      </c>
      <c r="E12" s="35" t="n">
        <v>5000</v>
      </c>
      <c r="F12" s="33" t="inlineStr">
        <is>
          <t>60%</t>
        </is>
      </c>
      <c r="G12" s="32" t="inlineStr">
        <is>
          <t>ver no ML</t>
        </is>
      </c>
    </row>
    <row r="13">
      <c r="C13" s="26" t="inlineStr">
        <is>
          <t>VALOR DE MERCADO TOTAL</t>
        </is>
      </c>
      <c r="D13" s="27" t="inlineStr"/>
      <c r="E13" s="28">
        <f>SUM(E11:E12)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106 — APARELHO/PEÇA MECÂNICA</t>
        </is>
      </c>
      <c r="I1" s="15">
        <f>HYPERLINK("#'Índice'!A1","↩ voltar ao índice")</f>
        <v/>
      </c>
    </row>
    <row r="2">
      <c r="A2" s="2" t="inlineStr">
        <is>
          <t>Santos Brasil  ·  Edital 0800100/000006/2026 · 8ª RF (SP)</t>
        </is>
      </c>
    </row>
    <row r="4">
      <c r="A4" s="16" t="inlineStr">
        <is>
          <t>Preço mínimo (edital)</t>
        </is>
      </c>
      <c r="C4" s="17" t="n">
        <v>24200</v>
      </c>
    </row>
    <row r="5">
      <c r="A5" s="16" t="inlineStr">
        <is>
          <t>Valor de mercado (itens)</t>
        </is>
      </c>
      <c r="C5" s="18" t="n">
        <v>60000</v>
      </c>
    </row>
    <row r="6">
      <c r="A6" s="16" t="inlineStr">
        <is>
          <t>LANCE mínimo (conservador)</t>
        </is>
      </c>
      <c r="C6" s="19" t="n">
        <v>21000</v>
      </c>
    </row>
    <row r="7">
      <c r="A7" s="16" t="inlineStr">
        <is>
          <t>LANCE ideal</t>
        </is>
      </c>
      <c r="C7" s="19" t="n">
        <v>27300</v>
      </c>
    </row>
    <row r="8">
      <c r="A8" s="16" t="inlineStr">
        <is>
          <t>LANCE máximo (agressivo)</t>
        </is>
      </c>
      <c r="C8" s="20" t="n">
        <v>35700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100</v>
      </c>
      <c r="C11" s="30" t="inlineStr">
        <is>
          <t>MODULO GRAVACAO A LASER CNC AENBUSLM 20W C/ BOMBA SOPRADORA -S/MARCA - MODELO SEM MODELO</t>
        </is>
      </c>
      <c r="D11" s="31" t="n">
        <v>350</v>
      </c>
      <c r="E11" s="31" t="n">
        <v>35000</v>
      </c>
      <c r="F11" s="29" t="inlineStr">
        <is>
          <t>40%</t>
        </is>
      </c>
      <c r="G11" s="32" t="inlineStr">
        <is>
          <t>ver no ML</t>
        </is>
      </c>
    </row>
    <row r="12">
      <c r="A12" s="33" t="n">
        <v>2</v>
      </c>
      <c r="B12" s="33" t="n">
        <v>100</v>
      </c>
      <c r="C12" s="34" t="inlineStr">
        <is>
          <t>APARELHO NIVEL A LASER 16 LINHAS 4D AUTONIVELANTE - MARCA SEM MARCA - MODELO SEM MODELO</t>
        </is>
      </c>
      <c r="D12" s="35" t="n">
        <v>250</v>
      </c>
      <c r="E12" s="35" t="n">
        <v>25000</v>
      </c>
      <c r="F12" s="33" t="inlineStr">
        <is>
          <t>65%</t>
        </is>
      </c>
      <c r="G12" s="32" t="inlineStr">
        <is>
          <t>ver no ML</t>
        </is>
      </c>
    </row>
    <row r="13">
      <c r="C13" s="26" t="inlineStr">
        <is>
          <t>VALOR DE MERCADO TOTAL</t>
        </is>
      </c>
      <c r="D13" s="27" t="inlineStr"/>
      <c r="E13" s="28">
        <f>SUM(E11:E12)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108 — ELETRÔNICO/ÁUDIO/VÍDEO</t>
        </is>
      </c>
      <c r="I1" s="15">
        <f>HYPERLINK("#'Índice'!A1","↩ voltar ao índice")</f>
        <v/>
      </c>
    </row>
    <row r="2">
      <c r="A2" s="2" t="inlineStr">
        <is>
          <t>Santos Brasil  ·  Edital 0800100/000006/2026 · 8ª RF (SP)</t>
        </is>
      </c>
    </row>
    <row r="4">
      <c r="A4" s="16" t="inlineStr">
        <is>
          <t>Preço mínimo (edital)</t>
        </is>
      </c>
      <c r="C4" s="17" t="n">
        <v>2700</v>
      </c>
    </row>
    <row r="5">
      <c r="A5" s="16" t="inlineStr">
        <is>
          <t>Valor de mercado (itens)</t>
        </is>
      </c>
      <c r="C5" s="18" t="n">
        <v>9109</v>
      </c>
    </row>
    <row r="6">
      <c r="A6" s="16" t="inlineStr">
        <is>
          <t>LANCE mínimo (conservador)</t>
        </is>
      </c>
      <c r="C6" s="19" t="n">
        <v>3188</v>
      </c>
    </row>
    <row r="7">
      <c r="A7" s="16" t="inlineStr">
        <is>
          <t>LANCE ideal</t>
        </is>
      </c>
      <c r="C7" s="19" t="n">
        <v>4145</v>
      </c>
    </row>
    <row r="8">
      <c r="A8" s="16" t="inlineStr">
        <is>
          <t>LANCE máximo (agressivo)</t>
        </is>
      </c>
      <c r="C8" s="20" t="n">
        <v>5420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SINTETIZADOR DE GUITARRA, MARCA ROLAND, MODELO GR-55GK-BK</t>
        </is>
      </c>
      <c r="D11" s="31" t="n">
        <v>5000</v>
      </c>
      <c r="E11" s="31" t="n">
        <v>5000</v>
      </c>
      <c r="F11" s="29" t="inlineStr">
        <is>
          <t>75%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PEDALEIRA PARA GUITARRA, MARCA ZOOM, MODELO G5N</t>
        </is>
      </c>
      <c r="D12" s="35" t="n">
        <v>1000</v>
      </c>
      <c r="E12" s="35" t="n">
        <v>1000</v>
      </c>
      <c r="F12" s="33" t="inlineStr">
        <is>
          <t>70%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TECLADO, MARCA AKAI, MODELO MPK MINIPLUS</t>
        </is>
      </c>
      <c r="D13" s="31" t="n">
        <v>700</v>
      </c>
      <c r="E13" s="31" t="n">
        <v>700</v>
      </c>
      <c r="F13" s="29" t="inlineStr">
        <is>
          <t>70%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TECLADO PARA JOGOS, MARCA CORSAIR, MODELO RGP0118</t>
        </is>
      </c>
      <c r="D14" s="35" t="n">
        <v>400</v>
      </c>
      <c r="E14" s="35" t="n">
        <v>400</v>
      </c>
      <c r="F14" s="33" t="inlineStr">
        <is>
          <t>45%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FONE DE OUVIDO SEM FIO, MARCA APPLE, MODELO SEM MODELO</t>
        </is>
      </c>
      <c r="D15" s="31" t="n">
        <v>400</v>
      </c>
      <c r="E15" s="31" t="n">
        <v>400</v>
      </c>
      <c r="F15" s="29" t="inlineStr">
        <is>
          <t>50%</t>
        </is>
      </c>
      <c r="G15" s="32" t="inlineStr">
        <is>
          <t>ver no ML</t>
        </is>
      </c>
    </row>
    <row r="16">
      <c r="A16" s="33" t="n">
        <v>6</v>
      </c>
      <c r="B16" s="33" t="n">
        <v>6</v>
      </c>
      <c r="C16" s="34" t="inlineStr">
        <is>
          <t>CORDA PARA GUITARRA, MARCA ERNIE BALL, MODELO SUPER SLINKY</t>
        </is>
      </c>
      <c r="D16" s="35" t="n">
        <v>55</v>
      </c>
      <c r="E16" s="35" t="n">
        <v>330</v>
      </c>
      <c r="F16" s="33" t="inlineStr">
        <is>
          <t>60%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BRACO DE GUITARRA, MARCA GIO IBANEZ, MODELO GS211000755</t>
        </is>
      </c>
      <c r="D17" s="31" t="n">
        <v>200</v>
      </c>
      <c r="E17" s="31" t="n">
        <v>200</v>
      </c>
      <c r="F17" s="29" t="inlineStr">
        <is>
          <t>50%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BRACO DE GUITARRA, MARCA GIO IBANEZ, MODELO GS211201976</t>
        </is>
      </c>
      <c r="D18" s="35" t="n">
        <v>200</v>
      </c>
      <c r="E18" s="35" t="n">
        <v>200</v>
      </c>
      <c r="F18" s="33" t="inlineStr">
        <is>
          <t>50%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ROTEADOR, MARCA HUAWEI, MODELO E5576-320</t>
        </is>
      </c>
      <c r="D19" s="31" t="n">
        <v>200</v>
      </c>
      <c r="E19" s="31" t="n">
        <v>200</v>
      </c>
      <c r="F19" s="29" t="inlineStr">
        <is>
          <t>60%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MI TV STICK 4K, MARCA XIAOMI, MODELO MDZ-27-AA</t>
        </is>
      </c>
      <c r="D20" s="35" t="n">
        <v>180</v>
      </c>
      <c r="E20" s="35" t="n">
        <v>180</v>
      </c>
      <c r="F20" s="33" t="inlineStr">
        <is>
          <t>75%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KIT DE LIMPEZA PARA GUITARRA, MARCA DUNLOP, MODELO SYSTEM 65</t>
        </is>
      </c>
      <c r="D21" s="31" t="n">
        <v>90</v>
      </c>
      <c r="E21" s="31" t="n">
        <v>90</v>
      </c>
      <c r="F21" s="29" t="inlineStr">
        <is>
          <t>60%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FONE DE OUVIDO SEM FIO, MARCA CELLULARLINE, MODELO SEEK</t>
        </is>
      </c>
      <c r="D22" s="35" t="n">
        <v>90</v>
      </c>
      <c r="E22" s="35" t="n">
        <v>90</v>
      </c>
      <c r="F22" s="33" t="inlineStr">
        <is>
          <t>50%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PEDAL, MARCA MGEAR, MODELO M-AUDIO SP-2</t>
        </is>
      </c>
      <c r="D23" s="31" t="n">
        <v>80</v>
      </c>
      <c r="E23" s="31" t="n">
        <v>80</v>
      </c>
      <c r="F23" s="29" t="inlineStr">
        <is>
          <t>68%</t>
        </is>
      </c>
      <c r="G23" s="32" t="inlineStr">
        <is>
          <t>ver no ML</t>
        </is>
      </c>
    </row>
    <row r="24">
      <c r="A24" s="33" t="n">
        <v>14</v>
      </c>
      <c r="B24" s="33" t="n">
        <v>1</v>
      </c>
      <c r="C24" s="34" t="inlineStr">
        <is>
          <t>RELOGIO SMART WATCH, MARCA POWER, MODELO SEM MODELO</t>
        </is>
      </c>
      <c r="D24" s="35" t="n">
        <v>60</v>
      </c>
      <c r="E24" s="35" t="n">
        <v>60</v>
      </c>
      <c r="F24" s="33" t="inlineStr">
        <is>
          <t>45%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FONE DE OUVIDO, MARCA SONY, MODELO MDR-ZX110</t>
        </is>
      </c>
      <c r="D25" s="31" t="n">
        <v>55</v>
      </c>
      <c r="E25" s="31" t="n">
        <v>55</v>
      </c>
      <c r="F25" s="29" t="inlineStr">
        <is>
          <t>70%</t>
        </is>
      </c>
      <c r="G25" s="32" t="inlineStr">
        <is>
          <t>ver no ML</t>
        </is>
      </c>
    </row>
    <row r="26">
      <c r="A26" s="33" t="n">
        <v>16</v>
      </c>
      <c r="B26" s="33" t="n">
        <v>3</v>
      </c>
      <c r="C26" s="34" t="inlineStr">
        <is>
          <t>BATERIA, MARCA AMAZON, MODELO CR2</t>
        </is>
      </c>
      <c r="D26" s="35" t="n">
        <v>18</v>
      </c>
      <c r="E26" s="35" t="n">
        <v>54</v>
      </c>
      <c r="F26" s="33" t="inlineStr">
        <is>
          <t>55%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CAPO DE GUITARRA, MARCA DONNER, MODELO DC-2 (ACESSORIO PARA GUITARRA)</t>
        </is>
      </c>
      <c r="D27" s="31" t="n">
        <v>40</v>
      </c>
      <c r="E27" s="31" t="n">
        <v>40</v>
      </c>
      <c r="F27" s="29" t="inlineStr">
        <is>
          <t>60%</t>
        </is>
      </c>
      <c r="G27" s="32" t="inlineStr">
        <is>
          <t>ver no ML</t>
        </is>
      </c>
    </row>
    <row r="28">
      <c r="A28" s="33" t="n">
        <v>18</v>
      </c>
      <c r="B28" s="33" t="n">
        <v>1</v>
      </c>
      <c r="C28" s="34" t="inlineStr">
        <is>
          <t>FONE DE OUVIDO SEM FIO, MARCA AREA, MODELO TRUE</t>
        </is>
      </c>
      <c r="D28" s="35" t="n">
        <v>30</v>
      </c>
      <c r="E28" s="35" t="n">
        <v>30</v>
      </c>
      <c r="F28" s="33" t="inlineStr">
        <is>
          <t>30%</t>
        </is>
      </c>
      <c r="G28" s="32" t="inlineStr">
        <is>
          <t>ver no ML</t>
        </is>
      </c>
    </row>
    <row r="29">
      <c r="C29" s="26" t="inlineStr">
        <is>
          <t>VALOR DE MERCADO TOTAL</t>
        </is>
      </c>
      <c r="D29" s="27" t="inlineStr"/>
      <c r="E29" s="28">
        <f>SUM(E11:E28)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114 — APARELHO/PEÇA MECÂNICA</t>
        </is>
      </c>
      <c r="I1" s="15">
        <f>HYPERLINK("#'Índice'!A1","↩ voltar ao índice")</f>
        <v/>
      </c>
    </row>
    <row r="2">
      <c r="A2" s="2" t="inlineStr">
        <is>
          <t>Santos Brasil  ·  Edital 0800100/000006/2026 · 8ª RF (SP)</t>
        </is>
      </c>
    </row>
    <row r="4">
      <c r="A4" s="16" t="inlineStr">
        <is>
          <t>Preço mínimo (edital)</t>
        </is>
      </c>
      <c r="C4" s="17" t="n">
        <v>50900</v>
      </c>
    </row>
    <row r="5">
      <c r="A5" s="16" t="inlineStr">
        <is>
          <t>Valor de mercado (itens)</t>
        </is>
      </c>
      <c r="C5" s="18" t="n">
        <v>4750</v>
      </c>
    </row>
    <row r="6">
      <c r="A6" s="16" t="inlineStr">
        <is>
          <t>LANCE mínimo (conservador)</t>
        </is>
      </c>
      <c r="C6" s="19" t="n">
        <v>1662</v>
      </c>
    </row>
    <row r="7">
      <c r="A7" s="16" t="inlineStr">
        <is>
          <t>LANCE ideal</t>
        </is>
      </c>
      <c r="C7" s="19" t="n">
        <v>2161</v>
      </c>
    </row>
    <row r="8">
      <c r="A8" s="16" t="inlineStr">
        <is>
          <t>LANCE máximo (agressivo)</t>
        </is>
      </c>
      <c r="C8" s="20" t="n">
        <v>2826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APARELHO DE AR CONDICIONADO C/VENTILADOR MOTORIZADO P/VEICULOS AUTOMOTORES/24V L-TZAC2426WSZC-T</t>
        </is>
      </c>
      <c r="D11" s="31" t="n">
        <v>2500</v>
      </c>
      <c r="E11" s="31" t="n">
        <v>2500</v>
      </c>
      <c r="F11" s="29" t="inlineStr">
        <is>
          <t>45%</t>
        </is>
      </c>
      <c r="G11" s="32" t="inlineStr">
        <is>
          <t>ver no ML</t>
        </is>
      </c>
    </row>
    <row r="12">
      <c r="A12" s="33" t="n">
        <v>2</v>
      </c>
      <c r="B12" s="33" t="n">
        <v>5</v>
      </c>
      <c r="C12" s="34" t="inlineStr">
        <is>
          <t>APARELHO DE AR CONDICIONADO C/VENTILADOR MOTORIZADO P/VEICULOS AUTOMOTORES/12V NTZAC1222WSZC-T</t>
        </is>
      </c>
      <c r="D12" s="35" t="n">
        <v>450</v>
      </c>
      <c r="E12" s="35" t="n">
        <v>2250</v>
      </c>
      <c r="F12" s="33" t="inlineStr">
        <is>
          <t>45%</t>
        </is>
      </c>
      <c r="G12" s="32" t="inlineStr">
        <is>
          <t>ver no ML</t>
        </is>
      </c>
    </row>
    <row r="13">
      <c r="A13" s="22" t="n">
        <v>3</v>
      </c>
      <c r="B13" s="22" t="n">
        <v>1</v>
      </c>
      <c r="C13" s="23" t="inlineStr">
        <is>
          <t>PA CARREGADEIRA C/CABINE E MOTOR A DIESEL - N/S 240528003/YINENG/YN928E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A14" s="22" t="n">
        <v>4</v>
      </c>
      <c r="B14" s="22" t="n">
        <v>1</v>
      </c>
      <c r="C14" s="23" t="inlineStr">
        <is>
          <t>ROLO COMPACTADOR DE SOLO/ASFALTO AUTOPROPULSADO C/DUPLO CILINDRO TANDEM/SINOGRAND/SG550</t>
        </is>
      </c>
      <c r="D14" s="24" t="inlineStr">
        <is>
          <t>—</t>
        </is>
      </c>
      <c r="E14" s="24" t="inlineStr">
        <is>
          <t>—</t>
        </is>
      </c>
      <c r="F14" s="22" t="inlineStr">
        <is>
          <t>s/ preço</t>
        </is>
      </c>
      <c r="G14" s="25" t="inlineStr">
        <is>
          <t>ver no ML</t>
        </is>
      </c>
    </row>
    <row r="15">
      <c r="A15" s="22" t="n">
        <v>5</v>
      </c>
      <c r="B15" s="22" t="n">
        <v>1</v>
      </c>
      <c r="C15" s="23" t="inlineStr">
        <is>
          <t>ROLO COMPACTADOR DE SOLO/ASFALTO AUTOPROPULSADO C/DUPLO CILINDRO TANDEM/SINOGRAND/SG1500</t>
        </is>
      </c>
      <c r="D15" s="24" t="inlineStr">
        <is>
          <t>—</t>
        </is>
      </c>
      <c r="E15" s="24" t="inlineStr">
        <is>
          <t>—</t>
        </is>
      </c>
      <c r="F15" s="22" t="inlineStr">
        <is>
          <t>s/ preço</t>
        </is>
      </c>
      <c r="G15" s="25" t="inlineStr">
        <is>
          <t>ver no ML</t>
        </is>
      </c>
    </row>
    <row r="16">
      <c r="A16" s="22" t="n">
        <v>6</v>
      </c>
      <c r="B16" s="22" t="n">
        <v>4</v>
      </c>
      <c r="C16" s="23" t="inlineStr">
        <is>
          <t>PLATAFORMA (MINICARREGADEIRA) C/4 RODAS ACIONADAS POR MOTOR ELETRICO</t>
        </is>
      </c>
      <c r="D16" s="24" t="inlineStr">
        <is>
          <t>—</t>
        </is>
      </c>
      <c r="E16" s="24" t="inlineStr">
        <is>
          <t>—</t>
        </is>
      </c>
      <c r="F16" s="22" t="inlineStr">
        <is>
          <t>s/ preço</t>
        </is>
      </c>
      <c r="G16" s="25" t="inlineStr">
        <is>
          <t>ver no ML</t>
        </is>
      </c>
    </row>
    <row r="17">
      <c r="A17" s="22" t="n">
        <v>7</v>
      </c>
      <c r="B17" s="22" t="n">
        <v>1</v>
      </c>
      <c r="C17" s="23" t="inlineStr">
        <is>
          <t>GERADOR ELETRICO 24V/24V TZDCGE24</t>
        </is>
      </c>
      <c r="D17" s="24" t="inlineStr">
        <is>
          <t>—</t>
        </is>
      </c>
      <c r="E17" s="24" t="inlineStr">
        <is>
          <t>—</t>
        </is>
      </c>
      <c r="F17" s="22" t="inlineStr">
        <is>
          <t>s/ preço</t>
        </is>
      </c>
      <c r="G17" s="25" t="inlineStr">
        <is>
          <t>ver no ML</t>
        </is>
      </c>
    </row>
    <row r="18">
      <c r="C18" s="26" t="inlineStr">
        <is>
          <t>VALOR DE MERCADO TOTAL</t>
        </is>
      </c>
      <c r="D18" s="27" t="inlineStr"/>
      <c r="E18" s="28">
        <f>SUM(E11:E17)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8 — APARELHO/PEÇA MECÂNICA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30000</v>
      </c>
    </row>
    <row r="5">
      <c r="A5" s="16" t="inlineStr">
        <is>
          <t>Valor de mercado (itens)</t>
        </is>
      </c>
      <c r="C5" s="18" t="n">
        <v>27750</v>
      </c>
    </row>
    <row r="6">
      <c r="A6" s="16" t="inlineStr">
        <is>
          <t>LANCE mínimo (conservador)</t>
        </is>
      </c>
      <c r="C6" s="19" t="n">
        <v>9712</v>
      </c>
    </row>
    <row r="7">
      <c r="A7" s="16" t="inlineStr">
        <is>
          <t>LANCE ideal</t>
        </is>
      </c>
      <c r="C7" s="19" t="n">
        <v>12626</v>
      </c>
    </row>
    <row r="8">
      <c r="A8" s="16" t="inlineStr">
        <is>
          <t>LANCE máximo (agressivo)</t>
        </is>
      </c>
      <c r="C8" s="20" t="n">
        <v>16511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8</v>
      </c>
      <c r="C11" s="30" t="inlineStr">
        <is>
          <t>INVERSOR DE VOLTAGEM MICROINVERSOR SOLAR C/ ACESSORIO TSUN TSOL-MS2000 -AWB992999313819240441173(L)</t>
        </is>
      </c>
      <c r="D11" s="31" t="n">
        <v>700</v>
      </c>
      <c r="E11" s="31" t="n">
        <v>5600</v>
      </c>
      <c r="F11" s="29" t="inlineStr">
        <is>
          <t>62%</t>
        </is>
      </c>
      <c r="G11" s="32" t="inlineStr">
        <is>
          <t>ver no ML</t>
        </is>
      </c>
    </row>
    <row r="12">
      <c r="A12" s="33" t="n">
        <v>2</v>
      </c>
      <c r="B12" s="33" t="n">
        <v>10</v>
      </c>
      <c r="C12" s="34" t="inlineStr">
        <is>
          <t>PARTES E PECAS DE MOTOR MOTOR PROPULSOR P/ DRONE AGRICOLA DJI -AWB992992988248147924676(L)</t>
        </is>
      </c>
      <c r="D12" s="35" t="n">
        <v>450</v>
      </c>
      <c r="E12" s="35" t="n">
        <v>4500</v>
      </c>
      <c r="F12" s="33" t="inlineStr">
        <is>
          <t>40%</t>
        </is>
      </c>
      <c r="G12" s="32" t="inlineStr">
        <is>
          <t>ver no ML</t>
        </is>
      </c>
    </row>
    <row r="13">
      <c r="A13" s="29" t="n">
        <v>3</v>
      </c>
      <c r="B13" s="29" t="n">
        <v>12</v>
      </c>
      <c r="C13" s="30" t="inlineStr">
        <is>
          <t>PARTES E PECAS OUTRAS MAQUINAS VENTILADOR DE REFRIGERACAO P/ CATERPILLAR 5108095 -AWB992991754409245365065(L)</t>
        </is>
      </c>
      <c r="D13" s="31" t="n">
        <v>350</v>
      </c>
      <c r="E13" s="31" t="n">
        <v>4200</v>
      </c>
      <c r="F13" s="29" t="inlineStr">
        <is>
          <t>38%</t>
        </is>
      </c>
      <c r="G13" s="32" t="inlineStr">
        <is>
          <t>ver no ML</t>
        </is>
      </c>
    </row>
    <row r="14">
      <c r="A14" s="33" t="n">
        <v>4</v>
      </c>
      <c r="B14" s="33" t="n">
        <v>13</v>
      </c>
      <c r="C14" s="34" t="inlineStr">
        <is>
          <t>PECAS DIVERSAS VALVULA SOLENOIDE HYDAC -AWBR5639VNJCGK(L)</t>
        </is>
      </c>
      <c r="D14" s="35" t="n">
        <v>300</v>
      </c>
      <c r="E14" s="35" t="n">
        <v>3900</v>
      </c>
      <c r="F14" s="33" t="inlineStr">
        <is>
          <t>45%</t>
        </is>
      </c>
      <c r="G14" s="32" t="inlineStr">
        <is>
          <t>ver no ML</t>
        </is>
      </c>
    </row>
    <row r="15">
      <c r="A15" s="29" t="n">
        <v>5</v>
      </c>
      <c r="B15" s="29" t="n">
        <v>4</v>
      </c>
      <c r="C15" s="30" t="inlineStr">
        <is>
          <t>SENSOR DE PRESENCA SONDA DE PROXIMIDADE P/ TRANSDUTOR BENTLY NEVADA 3300 -AWB71887648985(L)</t>
        </is>
      </c>
      <c r="D15" s="31" t="n">
        <v>900</v>
      </c>
      <c r="E15" s="31" t="n">
        <v>3600</v>
      </c>
      <c r="F15" s="29" t="inlineStr">
        <is>
          <t>40%</t>
        </is>
      </c>
      <c r="G15" s="32" t="inlineStr">
        <is>
          <t>ver no ML</t>
        </is>
      </c>
    </row>
    <row r="16">
      <c r="A16" s="33" t="n">
        <v>6</v>
      </c>
      <c r="B16" s="33" t="n">
        <v>6</v>
      </c>
      <c r="C16" s="34" t="inlineStr">
        <is>
          <t>PARTES E PECAS DE MOTOR MODULO P/ DRONE AGRICOLA -AWB992992988248147924676(L) - USADO</t>
        </is>
      </c>
      <c r="D16" s="35" t="n">
        <v>350</v>
      </c>
      <c r="E16" s="35" t="n">
        <v>2100</v>
      </c>
      <c r="F16" s="33" t="inlineStr">
        <is>
          <t>40%</t>
        </is>
      </c>
      <c r="G16" s="32" t="inlineStr">
        <is>
          <t>ver no ML</t>
        </is>
      </c>
    </row>
    <row r="17">
      <c r="A17" s="29" t="n">
        <v>7</v>
      </c>
      <c r="B17" s="29" t="n">
        <v>2</v>
      </c>
      <c r="C17" s="30" t="inlineStr">
        <is>
          <t>ALICATE KIT ALICATE DE CRIMPAGEM HIDRAULICO MNZE EZ-300 -AWB992991852951341207103(L)</t>
        </is>
      </c>
      <c r="D17" s="31" t="n">
        <v>800</v>
      </c>
      <c r="E17" s="31" t="n">
        <v>1600</v>
      </c>
      <c r="F17" s="29" t="inlineStr">
        <is>
          <t>45%</t>
        </is>
      </c>
      <c r="G17" s="32" t="inlineStr">
        <is>
          <t>ver no ML</t>
        </is>
      </c>
    </row>
    <row r="18">
      <c r="A18" s="33" t="n">
        <v>8</v>
      </c>
      <c r="B18" s="33" t="n">
        <v>2</v>
      </c>
      <c r="C18" s="34" t="inlineStr">
        <is>
          <t>LEITOR BIOMETRICO KIT LEITOR DIGITAL P/MAQ FRESADORA E ACESSORIOS DITRON DIVERSOS -AWB992199975261203285031(L)</t>
        </is>
      </c>
      <c r="D18" s="35" t="n">
        <v>500</v>
      </c>
      <c r="E18" s="35" t="n">
        <v>1000</v>
      </c>
      <c r="F18" s="33" t="inlineStr">
        <is>
          <t>35%</t>
        </is>
      </c>
      <c r="G18" s="32" t="inlineStr">
        <is>
          <t>ver no ML</t>
        </is>
      </c>
    </row>
    <row r="19">
      <c r="A19" s="29" t="n">
        <v>9</v>
      </c>
      <c r="B19" s="29" t="n">
        <v>20</v>
      </c>
      <c r="C19" s="30" t="inlineStr">
        <is>
          <t>PARTES E PECAS OUTRAS MAQUINAS ACESSORIO P/ LIXADEIRA (LIXA) DINABRADE 56155 -AWB70896197495(L)</t>
        </is>
      </c>
      <c r="D19" s="31" t="n">
        <v>30</v>
      </c>
      <c r="E19" s="31" t="n">
        <v>600</v>
      </c>
      <c r="F19" s="29" t="inlineStr">
        <is>
          <t>35%</t>
        </is>
      </c>
      <c r="G19" s="32" t="inlineStr">
        <is>
          <t>ver no ML</t>
        </is>
      </c>
    </row>
    <row r="20">
      <c r="A20" s="33" t="n">
        <v>10</v>
      </c>
      <c r="B20" s="33" t="n">
        <v>2</v>
      </c>
      <c r="C20" s="34" t="inlineStr">
        <is>
          <t>FERRAMENTA ELETRICA FERRAMENTA DE CRIMPAGEM HIDRAULICA -AWB0234831515370554360385(L)</t>
        </is>
      </c>
      <c r="D20" s="35" t="n">
        <v>200</v>
      </c>
      <c r="E20" s="35" t="n">
        <v>400</v>
      </c>
      <c r="F20" s="33" t="inlineStr">
        <is>
          <t>45%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PARTES E PECAS OUTRAS MAQUINAS COMPRESSOR P/ REFRIGERACAO CARRIER -AWB992999414138279028413(L)</t>
        </is>
      </c>
      <c r="D21" s="31" t="n">
        <v>250</v>
      </c>
      <c r="E21" s="31" t="n">
        <v>250</v>
      </c>
      <c r="F21" s="29" t="inlineStr">
        <is>
          <t>30%</t>
        </is>
      </c>
      <c r="G21" s="32" t="inlineStr">
        <is>
          <t>ver no ML</t>
        </is>
      </c>
    </row>
    <row r="22">
      <c r="A22" s="22" t="n">
        <v>12</v>
      </c>
      <c r="B22" s="22" t="n">
        <v>55</v>
      </c>
      <c r="C22" s="23" t="inlineStr">
        <is>
          <t>PARTES E PECAS OUTRAS MAQUINAS ARRUELA P/ MAQUINA (PESO BRUTO) -AWB57R10YFT73B(L)</t>
        </is>
      </c>
      <c r="D22" s="24" t="inlineStr">
        <is>
          <t>—</t>
        </is>
      </c>
      <c r="E22" s="24" t="inlineStr">
        <is>
          <t>—</t>
        </is>
      </c>
      <c r="F22" s="22" t="inlineStr">
        <is>
          <t>s/ preço</t>
        </is>
      </c>
      <c r="G22" s="25" t="inlineStr">
        <is>
          <t>ver no ML</t>
        </is>
      </c>
    </row>
    <row r="23">
      <c r="A23" s="22" t="n">
        <v>13</v>
      </c>
      <c r="B23" s="22" t="n">
        <v>1</v>
      </c>
      <c r="C23" s="23" t="inlineStr">
        <is>
          <t>PARTES E PECAS OUTRAS MAQUINAS PURIFICADOR DE AGUA DOMESTICO -AWB992991853064037393710(L)</t>
        </is>
      </c>
      <c r="D23" s="24" t="inlineStr">
        <is>
          <t>—</t>
        </is>
      </c>
      <c r="E23" s="24" t="inlineStr">
        <is>
          <t>—</t>
        </is>
      </c>
      <c r="F23" s="22" t="inlineStr">
        <is>
          <t>s/ preço</t>
        </is>
      </c>
      <c r="G23" s="25" t="inlineStr">
        <is>
          <t>ver no ML</t>
        </is>
      </c>
    </row>
    <row r="24">
      <c r="A24" s="22" t="n">
        <v>14</v>
      </c>
      <c r="B24" s="22" t="n">
        <v>2</v>
      </c>
      <c r="C24" s="23" t="inlineStr">
        <is>
          <t>PECAS DIVERSAS KIT PECA CILINDRICA DE METAL -AWB75058047550(L)</t>
        </is>
      </c>
      <c r="D24" s="24" t="inlineStr">
        <is>
          <t>—</t>
        </is>
      </c>
      <c r="E24" s="24" t="inlineStr">
        <is>
          <t>—</t>
        </is>
      </c>
      <c r="F24" s="22" t="inlineStr">
        <is>
          <t>s/ preço</t>
        </is>
      </c>
      <c r="G24" s="25" t="inlineStr">
        <is>
          <t>ver no ML</t>
        </is>
      </c>
    </row>
    <row r="25">
      <c r="A25" s="22" t="n">
        <v>15</v>
      </c>
      <c r="B25" s="22" t="n">
        <v>1</v>
      </c>
      <c r="C25" s="23" t="inlineStr">
        <is>
          <t>PARTES E PECAS OUTRAS MAQUINAS KIT REPARO DE MAQUINAS JOHNSON CONTROLS 534M0163G03 -AWB992991952351105839302(L)</t>
        </is>
      </c>
      <c r="D25" s="24" t="inlineStr">
        <is>
          <t>—</t>
        </is>
      </c>
      <c r="E25" s="24" t="inlineStr">
        <is>
          <t>—</t>
        </is>
      </c>
      <c r="F25" s="22" t="inlineStr">
        <is>
          <t>s/ preço</t>
        </is>
      </c>
      <c r="G25" s="25" t="inlineStr">
        <is>
          <t>ver no ML</t>
        </is>
      </c>
    </row>
    <row r="26">
      <c r="A26" s="22" t="n">
        <v>16</v>
      </c>
      <c r="B26" s="22" t="n">
        <v>1</v>
      </c>
      <c r="C26" s="23" t="inlineStr">
        <is>
          <t>PECAS DIVERSAS PARTES E PECAS P/ DRONE AGRICOLA ( KIT ) DJI -AWB992991955741005445420(L)</t>
        </is>
      </c>
      <c r="D26" s="24" t="inlineStr">
        <is>
          <t>—</t>
        </is>
      </c>
      <c r="E26" s="24" t="inlineStr">
        <is>
          <t>—</t>
        </is>
      </c>
      <c r="F26" s="22" t="inlineStr">
        <is>
          <t>s/ preço</t>
        </is>
      </c>
      <c r="G26" s="25" t="inlineStr">
        <is>
          <t>ver no ML</t>
        </is>
      </c>
    </row>
    <row r="27">
      <c r="A27" s="22" t="n">
        <v>17</v>
      </c>
      <c r="B27" s="22" t="n">
        <v>1</v>
      </c>
      <c r="C27" s="23" t="inlineStr">
        <is>
          <t>PARTES E PECAS OUTRAS MAQUINAS CAIXA DE ENGRENAGENS CICLOIDAL -AWB992199976001460152131(L)</t>
        </is>
      </c>
      <c r="D27" s="24" t="inlineStr">
        <is>
          <t>—</t>
        </is>
      </c>
      <c r="E27" s="24" t="inlineStr">
        <is>
          <t>—</t>
        </is>
      </c>
      <c r="F27" s="22" t="inlineStr">
        <is>
          <t>s/ preço</t>
        </is>
      </c>
      <c r="G27" s="25" t="inlineStr">
        <is>
          <t>ver no ML</t>
        </is>
      </c>
    </row>
    <row r="28">
      <c r="A28" s="22" t="n">
        <v>18</v>
      </c>
      <c r="B28" s="22" t="n">
        <v>2</v>
      </c>
      <c r="C28" s="23" t="inlineStr">
        <is>
          <t>PECAS DIVERSAS ELEMENTO DE VENTILACAO C/ ACESSORIOS -AWB75928604441(L)</t>
        </is>
      </c>
      <c r="D28" s="24" t="inlineStr">
        <is>
          <t>—</t>
        </is>
      </c>
      <c r="E28" s="24" t="inlineStr">
        <is>
          <t>—</t>
        </is>
      </c>
      <c r="F28" s="22" t="inlineStr">
        <is>
          <t>s/ preço</t>
        </is>
      </c>
      <c r="G28" s="25" t="inlineStr">
        <is>
          <t>ver no ML</t>
        </is>
      </c>
    </row>
    <row r="29">
      <c r="A29" s="22" t="n">
        <v>19</v>
      </c>
      <c r="B29" s="22" t="n">
        <v>1</v>
      </c>
      <c r="C29" s="23" t="inlineStr">
        <is>
          <t>PECAS DIVERSAS SONDA INDUSTRIAL ANALIZADORA DE GAS -AWB75475445974(L)</t>
        </is>
      </c>
      <c r="D29" s="24" t="inlineStr">
        <is>
          <t>—</t>
        </is>
      </c>
      <c r="E29" s="24" t="inlineStr">
        <is>
          <t>—</t>
        </is>
      </c>
      <c r="F29" s="22" t="inlineStr">
        <is>
          <t>s/ preço</t>
        </is>
      </c>
      <c r="G29" s="25" t="inlineStr">
        <is>
          <t>ver no ML</t>
        </is>
      </c>
    </row>
    <row r="30">
      <c r="A30" s="22" t="n">
        <v>20</v>
      </c>
      <c r="B30" s="22" t="n">
        <v>1</v>
      </c>
      <c r="C30" s="23" t="inlineStr">
        <is>
          <t>PECAS DIVERSAS JUNTA DE EXPANSAO INDUSTRIAL (EM TECIDO) -AWB992993069229984157713(L)</t>
        </is>
      </c>
      <c r="D30" s="24" t="inlineStr">
        <is>
          <t>—</t>
        </is>
      </c>
      <c r="E30" s="24" t="inlineStr">
        <is>
          <t>—</t>
        </is>
      </c>
      <c r="F30" s="22" t="inlineStr">
        <is>
          <t>s/ preço</t>
        </is>
      </c>
      <c r="G30" s="25" t="inlineStr">
        <is>
          <t>ver no ML</t>
        </is>
      </c>
    </row>
    <row r="31">
      <c r="A31" s="22" t="n">
        <v>21</v>
      </c>
      <c r="B31" s="22" t="n">
        <v>2</v>
      </c>
      <c r="C31" s="23" t="inlineStr">
        <is>
          <t>PARTES E PECAS OUTRAS MAQUINAS EIXO DE MAQUINA -AWB992993072466982111371(L)</t>
        </is>
      </c>
      <c r="D31" s="24" t="inlineStr">
        <is>
          <t>—</t>
        </is>
      </c>
      <c r="E31" s="24" t="inlineStr">
        <is>
          <t>—</t>
        </is>
      </c>
      <c r="F31" s="22" t="inlineStr">
        <is>
          <t>s/ preço</t>
        </is>
      </c>
      <c r="G31" s="25" t="inlineStr">
        <is>
          <t>ver no ML</t>
        </is>
      </c>
    </row>
    <row r="32">
      <c r="C32" s="26" t="inlineStr">
        <is>
          <t>VALOR DE MERCADO TOTAL</t>
        </is>
      </c>
      <c r="D32" s="27" t="inlineStr"/>
      <c r="E32" s="28">
        <f>SUM(E11:E31)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169 — INSTRUMENTO MUSICAL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9800</v>
      </c>
    </row>
    <row r="5">
      <c r="A5" s="16" t="inlineStr">
        <is>
          <t>Valor de mercado (itens)</t>
        </is>
      </c>
      <c r="C5" s="18" t="n">
        <v>26400</v>
      </c>
    </row>
    <row r="6">
      <c r="A6" s="16" t="inlineStr">
        <is>
          <t>LANCE mínimo (conservador)</t>
        </is>
      </c>
      <c r="C6" s="19" t="n">
        <v>9240</v>
      </c>
    </row>
    <row r="7">
      <c r="A7" s="16" t="inlineStr">
        <is>
          <t>LANCE ideal</t>
        </is>
      </c>
      <c r="C7" s="19" t="n">
        <v>12012</v>
      </c>
    </row>
    <row r="8">
      <c r="A8" s="16" t="inlineStr">
        <is>
          <t>LANCE máximo (agressivo)</t>
        </is>
      </c>
      <c r="C8" s="20" t="n">
        <v>15708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8</v>
      </c>
      <c r="C11" s="30" t="inlineStr">
        <is>
          <t>MESA DE SOM CONSOLE DE MIXAGEM C/ ACESS.( MESA DE SOM ) BEHRINGER FLOW 8 -AWB0235242623171091763960(L)</t>
        </is>
      </c>
      <c r="D11" s="31" t="n">
        <v>1700</v>
      </c>
      <c r="E11" s="31" t="n">
        <v>13600</v>
      </c>
      <c r="F11" s="29" t="inlineStr">
        <is>
          <t>60%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BATERIA PEDAL DE EFEITO NEURAL DSP QUADCORTEX PEDAL -AWB0234643347283718888132(L)</t>
        </is>
      </c>
      <c r="D12" s="35" t="n">
        <v>11000</v>
      </c>
      <c r="E12" s="35" t="n">
        <v>11000</v>
      </c>
      <c r="F12" s="33" t="inlineStr">
        <is>
          <t>65%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VIOLAO VIOLAO EPIPHONE -AWB0234717824609239303205(L) - USADO</t>
        </is>
      </c>
      <c r="D13" s="31" t="n">
        <v>1200</v>
      </c>
      <c r="E13" s="31" t="n">
        <v>1200</v>
      </c>
      <c r="F13" s="29" t="inlineStr">
        <is>
          <t>52%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PEDAL PARA INSTR. MUSICAL PEDAL DE EXPRESSAO MISSION EP-25K -AWB0234643347283718888132(L)</t>
        </is>
      </c>
      <c r="D14" s="35" t="n">
        <v>600</v>
      </c>
      <c r="E14" s="35" t="n">
        <v>600</v>
      </c>
      <c r="F14" s="33" t="inlineStr">
        <is>
          <t>60%</t>
        </is>
      </c>
      <c r="G14" s="32" t="inlineStr">
        <is>
          <t>ver no ML</t>
        </is>
      </c>
    </row>
    <row r="15">
      <c r="C15" s="26" t="inlineStr">
        <is>
          <t>VALOR DE MERCADO TOTAL</t>
        </is>
      </c>
      <c r="D15" s="27" t="inlineStr"/>
      <c r="E15" s="28">
        <f>SUM(E11:E14)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171 — PEÇA/ACESSÓRIO PARA VEÍCULO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78400</v>
      </c>
    </row>
    <row r="5">
      <c r="A5" s="16" t="inlineStr">
        <is>
          <t>Valor de mercado (itens)</t>
        </is>
      </c>
      <c r="C5" s="18" t="n">
        <v>22840</v>
      </c>
    </row>
    <row r="6">
      <c r="A6" s="16" t="inlineStr">
        <is>
          <t>LANCE mínimo (conservador)</t>
        </is>
      </c>
      <c r="C6" s="19" t="n">
        <v>7994</v>
      </c>
    </row>
    <row r="7">
      <c r="A7" s="16" t="inlineStr">
        <is>
          <t>LANCE ideal</t>
        </is>
      </c>
      <c r="C7" s="19" t="n">
        <v>10392</v>
      </c>
    </row>
    <row r="8">
      <c r="A8" s="16" t="inlineStr">
        <is>
          <t>LANCE máximo (agressivo)</t>
        </is>
      </c>
      <c r="C8" s="20" t="n">
        <v>13590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CARREGADOR DE BATERIA CARREGADOR E TESTADOR DE BATERIA AUTOMOTIVO MIDTRONICS DCA SERIES -AWB39608541208(L)</t>
        </is>
      </c>
      <c r="D11" s="31" t="n">
        <v>3500</v>
      </c>
      <c r="E11" s="31" t="n">
        <v>3500</v>
      </c>
      <c r="F11" s="29" t="inlineStr">
        <is>
          <t>58%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PARTES E PECAS AUTOMOVEL MODULO CONTROLADOR DE ECU VOLVO -AWB0235242503081049426505(L)</t>
        </is>
      </c>
      <c r="D12" s="35" t="n">
        <v>3000</v>
      </c>
      <c r="E12" s="35" t="n">
        <v>3000</v>
      </c>
      <c r="F12" s="33" t="inlineStr">
        <is>
          <t>50%</t>
        </is>
      </c>
      <c r="G12" s="32" t="inlineStr">
        <is>
          <t>ver no ML</t>
        </is>
      </c>
    </row>
    <row r="13">
      <c r="A13" s="29" t="n">
        <v>3</v>
      </c>
      <c r="B13" s="29" t="n">
        <v>44</v>
      </c>
      <c r="C13" s="30" t="inlineStr">
        <is>
          <t>FERRAMENTA MANUAL REFRATOMETRO DE CONCENTRACAO UREIA AUTOMOTIVO ATC -AWB992996102658108267753(L)</t>
        </is>
      </c>
      <c r="D13" s="31" t="n">
        <v>50</v>
      </c>
      <c r="E13" s="31" t="n">
        <v>2200</v>
      </c>
      <c r="F13" s="29" t="inlineStr">
        <is>
          <t>45%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CARREGADOR DE BATERIA CARREGADOR DE BATERIA P/DIAGNOSTICO AUTOMOTIVO MIDTRONICS -AWB39608535636(L)</t>
        </is>
      </c>
      <c r="D14" s="35" t="n">
        <v>2200</v>
      </c>
      <c r="E14" s="35" t="n">
        <v>2200</v>
      </c>
      <c r="F14" s="33" t="inlineStr">
        <is>
          <t>45%</t>
        </is>
      </c>
      <c r="G14" s="32" t="inlineStr">
        <is>
          <t>ver no ML</t>
        </is>
      </c>
    </row>
    <row r="15">
      <c r="A15" s="29" t="n">
        <v>5</v>
      </c>
      <c r="B15" s="29" t="n">
        <v>60</v>
      </c>
      <c r="C15" s="30" t="inlineStr">
        <is>
          <t>PARTES E PECAS VEICULOS BICO INJETOR -AWB992996182711375992995(L)</t>
        </is>
      </c>
      <c r="D15" s="31" t="n">
        <v>35</v>
      </c>
      <c r="E15" s="31" t="n">
        <v>2100</v>
      </c>
      <c r="F15" s="29" t="inlineStr">
        <is>
          <t>50%</t>
        </is>
      </c>
      <c r="G15" s="32" t="inlineStr">
        <is>
          <t>ver no ML</t>
        </is>
      </c>
    </row>
    <row r="16">
      <c r="A16" s="33" t="n">
        <v>6</v>
      </c>
      <c r="B16" s="33" t="n">
        <v>15</v>
      </c>
      <c r="C16" s="34" t="inlineStr">
        <is>
          <t>PARTES E PECAS AUTOMOVEL FAROL E SETA AUTOMOTIVO -AWB0235242503081049426505(L)</t>
        </is>
      </c>
      <c r="D16" s="35" t="n">
        <v>120</v>
      </c>
      <c r="E16" s="35" t="n">
        <v>1800</v>
      </c>
      <c r="F16" s="33" t="inlineStr">
        <is>
          <t>45%</t>
        </is>
      </c>
      <c r="G16" s="32" t="inlineStr">
        <is>
          <t>ver no ML</t>
        </is>
      </c>
    </row>
    <row r="17">
      <c r="A17" s="29" t="n">
        <v>7</v>
      </c>
      <c r="B17" s="29" t="n">
        <v>3</v>
      </c>
      <c r="C17" s="30" t="inlineStr">
        <is>
          <t>PARTES E PECAS AUTOMOVEL SENSOR DE NIVEL P/ VOLVO EC210 -AWB0235242503081049426505(L)</t>
        </is>
      </c>
      <c r="D17" s="31" t="n">
        <v>400</v>
      </c>
      <c r="E17" s="31" t="n">
        <v>1200</v>
      </c>
      <c r="F17" s="29" t="inlineStr">
        <is>
          <t>40%</t>
        </is>
      </c>
      <c r="G17" s="32" t="inlineStr">
        <is>
          <t>ver no ML</t>
        </is>
      </c>
    </row>
    <row r="18">
      <c r="A18" s="33" t="n">
        <v>8</v>
      </c>
      <c r="B18" s="33" t="n">
        <v>3</v>
      </c>
      <c r="C18" s="34" t="inlineStr">
        <is>
          <t>PARTES E PECAS AUTOMOVEL MODULO CONTROLE DE TRANSMISSAO AUTOMOTIVO -AWB0235242440078750761663(L)</t>
        </is>
      </c>
      <c r="D18" s="35" t="n">
        <v>400</v>
      </c>
      <c r="E18" s="35" t="n">
        <v>1200</v>
      </c>
      <c r="F18" s="33" t="inlineStr">
        <is>
          <t>40%</t>
        </is>
      </c>
      <c r="G18" s="32" t="inlineStr">
        <is>
          <t>ver no ML</t>
        </is>
      </c>
    </row>
    <row r="19">
      <c r="A19" s="29" t="n">
        <v>9</v>
      </c>
      <c r="B19" s="29" t="n">
        <v>40</v>
      </c>
      <c r="C19" s="30" t="inlineStr">
        <is>
          <t>CHAVE CHAVE DE VEICULOS -AWB992996181904478915280(L)</t>
        </is>
      </c>
      <c r="D19" s="31" t="n">
        <v>30</v>
      </c>
      <c r="E19" s="31" t="n">
        <v>1200</v>
      </c>
      <c r="F19" s="29" t="inlineStr">
        <is>
          <t>50%</t>
        </is>
      </c>
      <c r="G19" s="32" t="inlineStr">
        <is>
          <t>ver no ML</t>
        </is>
      </c>
    </row>
    <row r="20">
      <c r="A20" s="33" t="n">
        <v>10</v>
      </c>
      <c r="B20" s="33" t="n">
        <v>1</v>
      </c>
      <c r="C20" s="34" t="inlineStr">
        <is>
          <t>MODULO DE POTENCIA MODULO DE MOTOR DUPLO SIEMENS -AWB992996104201956935260(L)</t>
        </is>
      </c>
      <c r="D20" s="35" t="n">
        <v>1200</v>
      </c>
      <c r="E20" s="35" t="n">
        <v>1200</v>
      </c>
      <c r="F20" s="33" t="inlineStr">
        <is>
          <t>30%</t>
        </is>
      </c>
      <c r="G20" s="32" t="inlineStr">
        <is>
          <t>ver no ML</t>
        </is>
      </c>
    </row>
    <row r="21">
      <c r="A21" s="29" t="n">
        <v>11</v>
      </c>
      <c r="B21" s="29" t="n">
        <v>1</v>
      </c>
      <c r="C21" s="30" t="inlineStr">
        <is>
          <t>FERRAMENTA ELETRONICA KIT FERRAMENTA DE DIAGNOSTICO AUTOMOTIVO PANASONIC DIVERSOS -AWB0235682279181036791630(L)</t>
        </is>
      </c>
      <c r="D21" s="31" t="n">
        <v>700</v>
      </c>
      <c r="E21" s="31" t="n">
        <v>700</v>
      </c>
      <c r="F21" s="29" t="inlineStr">
        <is>
          <t>35%</t>
        </is>
      </c>
      <c r="G21" s="32" t="inlineStr">
        <is>
          <t>ver no ML</t>
        </is>
      </c>
    </row>
    <row r="22">
      <c r="A22" s="33" t="n">
        <v>12</v>
      </c>
      <c r="B22" s="33" t="n">
        <v>10</v>
      </c>
      <c r="C22" s="34" t="inlineStr">
        <is>
          <t>SENSOR DE TEMPERATURA SENSOR DE TEMPERATURA AUTOMOTIVO DIVERSOS -AWB992996102658108267753(L)</t>
        </is>
      </c>
      <c r="D22" s="35" t="n">
        <v>45</v>
      </c>
      <c r="E22" s="35" t="n">
        <v>450</v>
      </c>
      <c r="F22" s="33" t="inlineStr">
        <is>
          <t>40%</t>
        </is>
      </c>
      <c r="G22" s="32" t="inlineStr">
        <is>
          <t>ver no ML</t>
        </is>
      </c>
    </row>
    <row r="23">
      <c r="A23" s="29" t="n">
        <v>13</v>
      </c>
      <c r="B23" s="29" t="n">
        <v>2</v>
      </c>
      <c r="C23" s="30" t="inlineStr">
        <is>
          <t>PARTES E PECAS AUTOMOVEL REFRIGERADOR DE OLEO DE MOTOR DIESEL -AWB0235242503081049426505(L)</t>
        </is>
      </c>
      <c r="D23" s="31" t="n">
        <v>200</v>
      </c>
      <c r="E23" s="31" t="n">
        <v>400</v>
      </c>
      <c r="F23" s="29" t="inlineStr">
        <is>
          <t>40%</t>
        </is>
      </c>
      <c r="G23" s="32" t="inlineStr">
        <is>
          <t>ver no ML</t>
        </is>
      </c>
    </row>
    <row r="24">
      <c r="A24" s="33" t="n">
        <v>14</v>
      </c>
      <c r="B24" s="33" t="n">
        <v>10</v>
      </c>
      <c r="C24" s="34" t="inlineStr">
        <is>
          <t>SENSOR DE TEMPERATURA SENSOR DE TEMPERATURA AUTOMOTIVO 15153124 -AWB0235242503081049426505(L)</t>
        </is>
      </c>
      <c r="D24" s="35" t="n">
        <v>40</v>
      </c>
      <c r="E24" s="35" t="n">
        <v>400</v>
      </c>
      <c r="F24" s="33" t="inlineStr">
        <is>
          <t>50%</t>
        </is>
      </c>
      <c r="G24" s="32" t="inlineStr">
        <is>
          <t>ver no ML</t>
        </is>
      </c>
    </row>
    <row r="25">
      <c r="A25" s="29" t="n">
        <v>15</v>
      </c>
      <c r="B25" s="29" t="n">
        <v>6</v>
      </c>
      <c r="C25" s="30" t="inlineStr">
        <is>
          <t>FILTRO DE AR /REGULADOR FILTRO DE AR -AWB14356755460(L)</t>
        </is>
      </c>
      <c r="D25" s="31" t="n">
        <v>60</v>
      </c>
      <c r="E25" s="31" t="n">
        <v>360</v>
      </c>
      <c r="F25" s="29" t="inlineStr">
        <is>
          <t>35%</t>
        </is>
      </c>
      <c r="G25" s="32" t="inlineStr">
        <is>
          <t>ver no ML</t>
        </is>
      </c>
    </row>
    <row r="26">
      <c r="A26" s="33" t="n">
        <v>16</v>
      </c>
      <c r="B26" s="33" t="n">
        <v>5</v>
      </c>
      <c r="C26" s="34" t="inlineStr">
        <is>
          <t>FILTRO DE AR /REGULADOR FILTRO DE AR -AWB14356755460(L)</t>
        </is>
      </c>
      <c r="D26" s="35" t="n">
        <v>60</v>
      </c>
      <c r="E26" s="35" t="n">
        <v>300</v>
      </c>
      <c r="F26" s="33" t="inlineStr">
        <is>
          <t>35%</t>
        </is>
      </c>
      <c r="G26" s="32" t="inlineStr">
        <is>
          <t>ver no ML</t>
        </is>
      </c>
    </row>
    <row r="27">
      <c r="A27" s="29" t="n">
        <v>17</v>
      </c>
      <c r="B27" s="29" t="n">
        <v>3</v>
      </c>
      <c r="C27" s="30" t="inlineStr">
        <is>
          <t>PARTES E PECAS AUTOMOVEL SENSOR DE PRESSAO OLEO DO MOTOR 15047336 -AWB0235242503081049426505(L)</t>
        </is>
      </c>
      <c r="D27" s="31" t="n">
        <v>80</v>
      </c>
      <c r="E27" s="31" t="n">
        <v>240</v>
      </c>
      <c r="F27" s="29" t="inlineStr">
        <is>
          <t>45%</t>
        </is>
      </c>
      <c r="G27" s="32" t="inlineStr">
        <is>
          <t>ver no ML</t>
        </is>
      </c>
    </row>
    <row r="28">
      <c r="A28" s="33" t="n">
        <v>18</v>
      </c>
      <c r="B28" s="33" t="n">
        <v>2</v>
      </c>
      <c r="C28" s="34" t="inlineStr">
        <is>
          <t>COMPONENTES ELETRONICOS KIT DE MONITORAMENTO E RASTREAMENTO VEICULAR -AWB158177JS8Z4(L)</t>
        </is>
      </c>
      <c r="D28" s="35" t="n">
        <v>120</v>
      </c>
      <c r="E28" s="35" t="n">
        <v>240</v>
      </c>
      <c r="F28" s="33" t="inlineStr">
        <is>
          <t>35%</t>
        </is>
      </c>
      <c r="G28" s="32" t="inlineStr">
        <is>
          <t>ver no ML</t>
        </is>
      </c>
    </row>
    <row r="29">
      <c r="A29" s="29" t="n">
        <v>19</v>
      </c>
      <c r="B29" s="29" t="n">
        <v>5</v>
      </c>
      <c r="C29" s="30" t="inlineStr">
        <is>
          <t>PARTES E PECAS AUTOMOVEL FAROL E SETA AUTOMOTIVO -AWB0235242503081049426505(L) - DANIFICADO</t>
        </is>
      </c>
      <c r="D29" s="31" t="n">
        <v>30</v>
      </c>
      <c r="E29" s="31" t="n">
        <v>150</v>
      </c>
      <c r="F29" s="29" t="inlineStr">
        <is>
          <t>35%</t>
        </is>
      </c>
      <c r="G29" s="32" t="inlineStr">
        <is>
          <t>ver no ML</t>
        </is>
      </c>
    </row>
    <row r="30">
      <c r="A30" s="22" t="n">
        <v>20</v>
      </c>
      <c r="B30" s="22" t="n">
        <v>16</v>
      </c>
      <c r="C30" s="23" t="inlineStr">
        <is>
          <t>PARTES E PECAS AUTOMOVEL BOBINA SOLENOIDE AUTOMOTIVA DIVERSOS -AWB0235242503081049426505(L)</t>
        </is>
      </c>
      <c r="D30" s="24" t="inlineStr">
        <is>
          <t>—</t>
        </is>
      </c>
      <c r="E30" s="24" t="inlineStr">
        <is>
          <t>—</t>
        </is>
      </c>
      <c r="F30" s="22" t="inlineStr">
        <is>
          <t>s/ preço</t>
        </is>
      </c>
      <c r="G30" s="25" t="inlineStr">
        <is>
          <t>ver no ML</t>
        </is>
      </c>
    </row>
    <row r="31">
      <c r="A31" s="22" t="n">
        <v>21</v>
      </c>
      <c r="B31" s="22" t="n">
        <v>501</v>
      </c>
      <c r="C31" s="23" t="inlineStr">
        <is>
          <t>PARTES E PECAS AUTOMOVEL COXIM ADAPTAVEL AUTOMOTIVO -AWB0235242701272097981000(L)</t>
        </is>
      </c>
      <c r="D31" s="24" t="inlineStr">
        <is>
          <t>—</t>
        </is>
      </c>
      <c r="E31" s="24" t="inlineStr">
        <is>
          <t>—</t>
        </is>
      </c>
      <c r="F31" s="22" t="inlineStr">
        <is>
          <t>s/ preço</t>
        </is>
      </c>
      <c r="G31" s="25" t="inlineStr">
        <is>
          <t>ver no ML</t>
        </is>
      </c>
    </row>
    <row r="32">
      <c r="A32" s="22" t="n">
        <v>22</v>
      </c>
      <c r="B32" s="22" t="n">
        <v>1</v>
      </c>
      <c r="C32" s="23" t="inlineStr">
        <is>
          <t>PARTES E PECAS AUTOMOVEL CAIXA DE ENGRENAGENS AUTOMOTIVO -AWB0235242623171122024636(L)</t>
        </is>
      </c>
      <c r="D32" s="24" t="inlineStr">
        <is>
          <t>—</t>
        </is>
      </c>
      <c r="E32" s="24" t="inlineStr">
        <is>
          <t>—</t>
        </is>
      </c>
      <c r="F32" s="22" t="inlineStr">
        <is>
          <t>s/ preço</t>
        </is>
      </c>
      <c r="G32" s="25" t="inlineStr">
        <is>
          <t>ver no ML</t>
        </is>
      </c>
    </row>
    <row r="33">
      <c r="A33" s="22" t="n">
        <v>23</v>
      </c>
      <c r="B33" s="22" t="n">
        <v>4</v>
      </c>
      <c r="C33" s="23" t="inlineStr">
        <is>
          <t>PECAS DIVERSAS KIT MOTOR (PISTAO, ANEIS E CAMISA) IZUMI -AWB992996104055612992696(L)</t>
        </is>
      </c>
      <c r="D33" s="24" t="inlineStr">
        <is>
          <t>—</t>
        </is>
      </c>
      <c r="E33" s="24" t="inlineStr">
        <is>
          <t>—</t>
        </is>
      </c>
      <c r="F33" s="22" t="inlineStr">
        <is>
          <t>s/ preço</t>
        </is>
      </c>
      <c r="G33" s="25" t="inlineStr">
        <is>
          <t>ver no ML</t>
        </is>
      </c>
    </row>
    <row r="34">
      <c r="A34" s="22" t="n">
        <v>24</v>
      </c>
      <c r="B34" s="22" t="n">
        <v>7</v>
      </c>
      <c r="C34" s="23" t="inlineStr">
        <is>
          <t>PARTES E PECAS VEICULOS MODULO DE CONTROLE -AWB992996104209611218606(L)</t>
        </is>
      </c>
      <c r="D34" s="24" t="inlineStr">
        <is>
          <t>—</t>
        </is>
      </c>
      <c r="E34" s="24" t="inlineStr">
        <is>
          <t>—</t>
        </is>
      </c>
      <c r="F34" s="22" t="inlineStr">
        <is>
          <t>s/ preço</t>
        </is>
      </c>
      <c r="G34" s="25" t="inlineStr">
        <is>
          <t>ver no ML</t>
        </is>
      </c>
    </row>
    <row r="35">
      <c r="C35" s="26" t="inlineStr">
        <is>
          <t>VALOR DE MERCADO TOTAL</t>
        </is>
      </c>
      <c r="D35" s="27" t="inlineStr"/>
      <c r="E35" s="28">
        <f>SUM(E11:E34)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173 — EMBARCAÇÃO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8300</v>
      </c>
    </row>
    <row r="5">
      <c r="A5" s="16" t="inlineStr">
        <is>
          <t>Valor de mercado (itens)</t>
        </is>
      </c>
      <c r="C5" s="18" t="n">
        <v>11500</v>
      </c>
    </row>
    <row r="6">
      <c r="A6" s="16" t="inlineStr">
        <is>
          <t>LANCE mínimo (conservador)</t>
        </is>
      </c>
      <c r="C6" s="19" t="n">
        <v>4025</v>
      </c>
    </row>
    <row r="7">
      <c r="A7" s="16" t="inlineStr">
        <is>
          <t>LANCE ideal</t>
        </is>
      </c>
      <c r="C7" s="19" t="n">
        <v>5232</v>
      </c>
    </row>
    <row r="8">
      <c r="A8" s="16" t="inlineStr">
        <is>
          <t>LANCE máximo (agressivo)</t>
        </is>
      </c>
      <c r="C8" s="20" t="n">
        <v>6842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3</v>
      </c>
      <c r="C11" s="30" t="inlineStr">
        <is>
          <t>BUZINA DE AR COMPRIMIDO BUZINA PARA EMBARCACAO COM ACESSORIOS HORNBLASTERS -AWB33VA96TXNFZ(L)</t>
        </is>
      </c>
      <c r="D11" s="31" t="n">
        <v>1800</v>
      </c>
      <c r="E11" s="31" t="n">
        <v>5400</v>
      </c>
      <c r="F11" s="29" t="inlineStr">
        <is>
          <t>48%</t>
        </is>
      </c>
      <c r="G11" s="32" t="inlineStr">
        <is>
          <t>ver no ML</t>
        </is>
      </c>
    </row>
    <row r="12">
      <c r="A12" s="33" t="n">
        <v>2</v>
      </c>
      <c r="B12" s="33" t="n">
        <v>2</v>
      </c>
      <c r="C12" s="34" t="inlineStr">
        <is>
          <t>GPS NAVEGADOR GPS MARITIMO C/ ACESSORIOS MATSUTEC HP-528A -AWB992991758341975793050(L)</t>
        </is>
      </c>
      <c r="D12" s="35" t="n">
        <v>1800</v>
      </c>
      <c r="E12" s="35" t="n">
        <v>3600</v>
      </c>
      <c r="F12" s="33" t="inlineStr">
        <is>
          <t>52%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PECAS DIVERSAS KIT FLAP HIDRAULICO AUTOTRIM MARITIMO BENNETT MARINE DIVERSOS -AWB78366330320(L)</t>
        </is>
      </c>
      <c r="D13" s="31" t="n">
        <v>2500</v>
      </c>
      <c r="E13" s="31" t="n">
        <v>2500</v>
      </c>
      <c r="F13" s="29" t="inlineStr">
        <is>
          <t>45%</t>
        </is>
      </c>
      <c r="G13" s="32" t="inlineStr">
        <is>
          <t>ver no ML</t>
        </is>
      </c>
    </row>
    <row r="14">
      <c r="C14" s="26" t="inlineStr">
        <is>
          <t>VALOR DE MERCADO TOTAL</t>
        </is>
      </c>
      <c r="D14" s="27" t="inlineStr"/>
      <c r="E14" s="28">
        <f>SUM(E11:E13)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174 — DIVERSOS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81000</v>
      </c>
    </row>
    <row r="5">
      <c r="A5" s="16" t="inlineStr">
        <is>
          <t>Valor de mercado (itens)</t>
        </is>
      </c>
      <c r="C5" s="18" t="n">
        <v>50600</v>
      </c>
    </row>
    <row r="6">
      <c r="A6" s="16" t="inlineStr">
        <is>
          <t>LANCE mínimo (conservador)</t>
        </is>
      </c>
      <c r="C6" s="19" t="n">
        <v>17710</v>
      </c>
    </row>
    <row r="7">
      <c r="A7" s="16" t="inlineStr">
        <is>
          <t>LANCE ideal</t>
        </is>
      </c>
      <c r="C7" s="19" t="n">
        <v>23023</v>
      </c>
    </row>
    <row r="8">
      <c r="A8" s="16" t="inlineStr">
        <is>
          <t>LANCE máximo (agressivo)</t>
        </is>
      </c>
      <c r="C8" s="20" t="n">
        <v>30107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19</v>
      </c>
      <c r="C11" s="30" t="inlineStr">
        <is>
          <t>TELEFONE TELEFONE IP COM ACESSORIOS CISCO CP-8832 -AWB992996387554006773374(L)</t>
        </is>
      </c>
      <c r="D11" s="31" t="n">
        <v>700</v>
      </c>
      <c r="E11" s="31" t="n">
        <v>13300</v>
      </c>
      <c r="F11" s="29" t="inlineStr">
        <is>
          <t>50%</t>
        </is>
      </c>
      <c r="G11" s="32" t="inlineStr">
        <is>
          <t>ver no ML</t>
        </is>
      </c>
    </row>
    <row r="12">
      <c r="A12" s="33" t="n">
        <v>2</v>
      </c>
      <c r="B12" s="33" t="n">
        <v>4</v>
      </c>
      <c r="C12" s="34" t="inlineStr">
        <is>
          <t>TELA LCD DE ELETRONICOS TELA LCD BEIJER EXTER T100 -AWB992996387444551751164(L)</t>
        </is>
      </c>
      <c r="D12" s="35" t="n">
        <v>1800</v>
      </c>
      <c r="E12" s="35" t="n">
        <v>7200</v>
      </c>
      <c r="F12" s="33" t="inlineStr">
        <is>
          <t>40%</t>
        </is>
      </c>
      <c r="G12" s="32" t="inlineStr">
        <is>
          <t>ver no ML</t>
        </is>
      </c>
    </row>
    <row r="13">
      <c r="A13" s="29" t="n">
        <v>3</v>
      </c>
      <c r="B13" s="29" t="n">
        <v>150</v>
      </c>
      <c r="C13" s="30" t="inlineStr">
        <is>
          <t>GRAVADOR DIGITAL KIT MINI GRAVADOR DE VOZ DIGITAL V15 -AWB0235682321181505387159(L)</t>
        </is>
      </c>
      <c r="D13" s="31" t="n">
        <v>35</v>
      </c>
      <c r="E13" s="31" t="n">
        <v>5250</v>
      </c>
      <c r="F13" s="29" t="inlineStr">
        <is>
          <t>50%</t>
        </is>
      </c>
      <c r="G13" s="32" t="inlineStr">
        <is>
          <t>ver no ML</t>
        </is>
      </c>
    </row>
    <row r="14">
      <c r="A14" s="33" t="n">
        <v>4</v>
      </c>
      <c r="B14" s="33" t="n">
        <v>2</v>
      </c>
      <c r="C14" s="34" t="inlineStr">
        <is>
          <t>PECAS DIVERSAS POLYCOM ( PROGETOR DE IMAGEM ) POLY TC8 P020 -AWB18251810871(L)</t>
        </is>
      </c>
      <c r="D14" s="35" t="n">
        <v>1900</v>
      </c>
      <c r="E14" s="35" t="n">
        <v>3800</v>
      </c>
      <c r="F14" s="33" t="inlineStr">
        <is>
          <t>58%</t>
        </is>
      </c>
      <c r="G14" s="32" t="inlineStr">
        <is>
          <t>ver no ML</t>
        </is>
      </c>
    </row>
    <row r="15">
      <c r="A15" s="29" t="n">
        <v>5</v>
      </c>
      <c r="B15" s="29" t="n">
        <v>1</v>
      </c>
      <c r="C15" s="30" t="inlineStr">
        <is>
          <t>COMPONENTES ELETRONICOS EQUIPAMENTO ELETRONICO COM ACESS (TENABLE) LENOVO 7D1X -AWB0235242596239423045257(L)</t>
        </is>
      </c>
      <c r="D15" s="31" t="n">
        <v>3000</v>
      </c>
      <c r="E15" s="31" t="n">
        <v>3000</v>
      </c>
      <c r="F15" s="29" t="inlineStr">
        <is>
          <t>50%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COMPONENTES ELETRONICOS EQUIPAMENTO ELETRONICO C/ ACESSORIOS TENABLE 7D1X -AWB0235242596239423045246(L)</t>
        </is>
      </c>
      <c r="D16" s="35" t="n">
        <v>3000</v>
      </c>
      <c r="E16" s="35" t="n">
        <v>3000</v>
      </c>
      <c r="F16" s="33" t="inlineStr">
        <is>
          <t>50%</t>
        </is>
      </c>
      <c r="G16" s="32" t="inlineStr">
        <is>
          <t>ver no ML</t>
        </is>
      </c>
    </row>
    <row r="17">
      <c r="A17" s="29" t="n">
        <v>7</v>
      </c>
      <c r="B17" s="29" t="n">
        <v>100</v>
      </c>
      <c r="C17" s="30" t="inlineStr">
        <is>
          <t>PARTES E PECAS DE CELULAR TELA DE CELULAR DIVERSOS -AWB992996104206604456504(L)</t>
        </is>
      </c>
      <c r="D17" s="31" t="n">
        <v>20</v>
      </c>
      <c r="E17" s="31" t="n">
        <v>2000</v>
      </c>
      <c r="F17" s="29" t="inlineStr">
        <is>
          <t>45%</t>
        </is>
      </c>
      <c r="G17" s="32" t="inlineStr">
        <is>
          <t>ver no ML</t>
        </is>
      </c>
    </row>
    <row r="18">
      <c r="A18" s="33" t="n">
        <v>8</v>
      </c>
      <c r="B18" s="33" t="n">
        <v>1</v>
      </c>
      <c r="C18" s="34" t="inlineStr">
        <is>
          <t>GABINETE GABINETE DE SERVIDOR LENOVO 3650 M5 -DSICD2300105226(L) - USADO</t>
        </is>
      </c>
      <c r="D18" s="35" t="n">
        <v>2000</v>
      </c>
      <c r="E18" s="35" t="n">
        <v>2000</v>
      </c>
      <c r="F18" s="33" t="inlineStr">
        <is>
          <t>58%</t>
        </is>
      </c>
      <c r="G18" s="32" t="inlineStr">
        <is>
          <t>ver no ML</t>
        </is>
      </c>
    </row>
    <row r="19">
      <c r="A19" s="29" t="n">
        <v>9</v>
      </c>
      <c r="B19" s="29" t="n">
        <v>1</v>
      </c>
      <c r="C19" s="30" t="inlineStr">
        <is>
          <t>GRAVADOR DE VIDEO DIGITAL GRAVADOR DE VIDEO EM REDE EAGLE EYE NETWORS -AWB992996396762199760986(L)</t>
        </is>
      </c>
      <c r="D19" s="31" t="n">
        <v>2000</v>
      </c>
      <c r="E19" s="31" t="n">
        <v>2000</v>
      </c>
      <c r="F19" s="29" t="inlineStr">
        <is>
          <t>35%</t>
        </is>
      </c>
      <c r="G19" s="32" t="inlineStr">
        <is>
          <t>ver no ML</t>
        </is>
      </c>
    </row>
    <row r="20">
      <c r="A20" s="33" t="n">
        <v>10</v>
      </c>
      <c r="B20" s="33" t="n">
        <v>11</v>
      </c>
      <c r="C20" s="34" t="inlineStr">
        <is>
          <t>MICROFONE KIT MICROFONES (COM 2 UNIDADES CADA) CISCO -AWB992996387554006773374(L)</t>
        </is>
      </c>
      <c r="D20" s="35" t="n">
        <v>180</v>
      </c>
      <c r="E20" s="35" t="n">
        <v>1980</v>
      </c>
      <c r="F20" s="33" t="inlineStr">
        <is>
          <t>45%</t>
        </is>
      </c>
      <c r="G20" s="32" t="inlineStr">
        <is>
          <t>ver no ML</t>
        </is>
      </c>
    </row>
    <row r="21">
      <c r="A21" s="29" t="n">
        <v>11</v>
      </c>
      <c r="B21" s="29" t="n">
        <v>2</v>
      </c>
      <c r="C21" s="30" t="inlineStr">
        <is>
          <t>CPU MINI CPU -AWB992996389547778765153(L)</t>
        </is>
      </c>
      <c r="D21" s="31" t="n">
        <v>600</v>
      </c>
      <c r="E21" s="31" t="n">
        <v>1200</v>
      </c>
      <c r="F21" s="29" t="inlineStr">
        <is>
          <t>45%</t>
        </is>
      </c>
      <c r="G21" s="32" t="inlineStr">
        <is>
          <t>ver no ML</t>
        </is>
      </c>
    </row>
    <row r="22">
      <c r="A22" s="33" t="n">
        <v>12</v>
      </c>
      <c r="B22" s="33" t="n">
        <v>40</v>
      </c>
      <c r="C22" s="34" t="inlineStr">
        <is>
          <t>COMPONENTES ELETRONICOS PLACA DE MEMORIA SAMSUNG -DSICD2300105226(L)</t>
        </is>
      </c>
      <c r="D22" s="35" t="n">
        <v>30</v>
      </c>
      <c r="E22" s="35" t="n">
        <v>1200</v>
      </c>
      <c r="F22" s="33" t="inlineStr">
        <is>
          <t>30%</t>
        </is>
      </c>
      <c r="G22" s="32" t="inlineStr">
        <is>
          <t>ver no ML</t>
        </is>
      </c>
    </row>
    <row r="23">
      <c r="A23" s="29" t="n">
        <v>13</v>
      </c>
      <c r="B23" s="29" t="n">
        <v>1</v>
      </c>
      <c r="C23" s="30" t="inlineStr">
        <is>
          <t>CONVERSOR DE AUDIO CONVERSOR DE VIDEO ELGATO 2VC309902000 -AWBG2B4983LSNQ(L)</t>
        </is>
      </c>
      <c r="D23" s="31" t="n">
        <v>900</v>
      </c>
      <c r="E23" s="31" t="n">
        <v>900</v>
      </c>
      <c r="F23" s="29" t="inlineStr">
        <is>
          <t>70%</t>
        </is>
      </c>
      <c r="G23" s="32" t="inlineStr">
        <is>
          <t>ver no ML</t>
        </is>
      </c>
    </row>
    <row r="24">
      <c r="A24" s="33" t="n">
        <v>14</v>
      </c>
      <c r="B24" s="33" t="n">
        <v>7</v>
      </c>
      <c r="C24" s="34" t="inlineStr">
        <is>
          <t>SUPORTE DE TV SUPORTE DE PAREDE PARA MONITORES TRIPP LITE -AWB992996389547778765153(L)</t>
        </is>
      </c>
      <c r="D24" s="35" t="n">
        <v>120</v>
      </c>
      <c r="E24" s="35" t="n">
        <v>840</v>
      </c>
      <c r="F24" s="33" t="inlineStr">
        <is>
          <t>60%</t>
        </is>
      </c>
      <c r="G24" s="32" t="inlineStr">
        <is>
          <t>ver no ML</t>
        </is>
      </c>
    </row>
    <row r="25">
      <c r="A25" s="29" t="n">
        <v>15</v>
      </c>
      <c r="B25" s="29" t="n">
        <v>5</v>
      </c>
      <c r="C25" s="30" t="inlineStr">
        <is>
          <t>MOUSE PAD MOUSE PAD CORSAIR MM200 PRO -AWBG2B4983LSNQ(L)</t>
        </is>
      </c>
      <c r="D25" s="31" t="n">
        <v>120</v>
      </c>
      <c r="E25" s="31" t="n">
        <v>600</v>
      </c>
      <c r="F25" s="29" t="inlineStr">
        <is>
          <t>65%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TECLADO PARA COMPUTADOR MINI TECLADO PARA JOGOS CORSAIR K70 PRO MINI -AWBG2B4983LSNQ(L)</t>
        </is>
      </c>
      <c r="D26" s="35" t="n">
        <v>500</v>
      </c>
      <c r="E26" s="35" t="n">
        <v>500</v>
      </c>
      <c r="F26" s="33" t="inlineStr">
        <is>
          <t>65%</t>
        </is>
      </c>
      <c r="G26" s="32" t="inlineStr">
        <is>
          <t>ver no ML</t>
        </is>
      </c>
    </row>
    <row r="27">
      <c r="A27" s="29" t="n">
        <v>17</v>
      </c>
      <c r="B27" s="29" t="n">
        <v>2</v>
      </c>
      <c r="C27" s="30" t="inlineStr">
        <is>
          <t>SUPORTE DE LUMINARIA SUPORTE ARTICULADO ELGATO 10AAC9901 -AWBG2B4983LSNQ(L)</t>
        </is>
      </c>
      <c r="D27" s="31" t="n">
        <v>180</v>
      </c>
      <c r="E27" s="31" t="n">
        <v>360</v>
      </c>
      <c r="F27" s="29" t="inlineStr">
        <is>
          <t>60%</t>
        </is>
      </c>
      <c r="G27" s="32" t="inlineStr">
        <is>
          <t>ver no ML</t>
        </is>
      </c>
    </row>
    <row r="28">
      <c r="A28" s="33" t="n">
        <v>18</v>
      </c>
      <c r="B28" s="33" t="n">
        <v>12</v>
      </c>
      <c r="C28" s="34" t="inlineStr">
        <is>
          <t>TELA LCD DE ELETRONICOS TELA FRONTAL PARA CELULAR -AWB992996273607721493581(L)</t>
        </is>
      </c>
      <c r="D28" s="35" t="n">
        <v>25</v>
      </c>
      <c r="E28" s="35" t="n">
        <v>300</v>
      </c>
      <c r="F28" s="33" t="inlineStr">
        <is>
          <t>35%</t>
        </is>
      </c>
      <c r="G28" s="32" t="inlineStr">
        <is>
          <t>ver no ML</t>
        </is>
      </c>
    </row>
    <row r="29">
      <c r="A29" s="29" t="n">
        <v>19</v>
      </c>
      <c r="B29" s="29" t="n">
        <v>5</v>
      </c>
      <c r="C29" s="30" t="inlineStr">
        <is>
          <t>PECAS DIVERSAS FILTRO PARA MICROFONE ELGATO -AWBG2B4983LSNQ(L)</t>
        </is>
      </c>
      <c r="D29" s="31" t="n">
        <v>60</v>
      </c>
      <c r="E29" s="31" t="n">
        <v>300</v>
      </c>
      <c r="F29" s="29" t="inlineStr">
        <is>
          <t>60%</t>
        </is>
      </c>
      <c r="G29" s="32" t="inlineStr">
        <is>
          <t>ver no ML</t>
        </is>
      </c>
    </row>
    <row r="30">
      <c r="A30" s="33" t="n">
        <v>20</v>
      </c>
      <c r="B30" s="33" t="n">
        <v>2</v>
      </c>
      <c r="C30" s="34" t="inlineStr">
        <is>
          <t>PROCESSADOR (CPU) PROCESSADOR DE SERVIDOR INTEL E5-2670 V3 -DSICD2300105226(L)</t>
        </is>
      </c>
      <c r="D30" s="35" t="n">
        <v>150</v>
      </c>
      <c r="E30" s="35" t="n">
        <v>300</v>
      </c>
      <c r="F30" s="33" t="inlineStr">
        <is>
          <t>70%</t>
        </is>
      </c>
      <c r="G30" s="32" t="inlineStr">
        <is>
          <t>ver no ML</t>
        </is>
      </c>
    </row>
    <row r="31">
      <c r="A31" s="29" t="n">
        <v>21</v>
      </c>
      <c r="B31" s="29" t="n">
        <v>16</v>
      </c>
      <c r="C31" s="30" t="inlineStr">
        <is>
          <t>CABO DE REDE CABO DE REDE -AWB992996389547778765153(L)</t>
        </is>
      </c>
      <c r="D31" s="31" t="n">
        <v>15</v>
      </c>
      <c r="E31" s="31" t="n">
        <v>240</v>
      </c>
      <c r="F31" s="29" t="inlineStr">
        <is>
          <t>40%</t>
        </is>
      </c>
      <c r="G31" s="32" t="inlineStr">
        <is>
          <t>ver no ML</t>
        </is>
      </c>
    </row>
    <row r="32">
      <c r="A32" s="33" t="n">
        <v>22</v>
      </c>
      <c r="B32" s="33" t="n">
        <v>7</v>
      </c>
      <c r="C32" s="34" t="inlineStr">
        <is>
          <t>CARTAO DE MEMORIA FLASH CARTAO DE MEMORIA 16GB COM ADAPTADOR SANDISK -AWB992996389547778765153(L)</t>
        </is>
      </c>
      <c r="D32" s="35" t="n">
        <v>20</v>
      </c>
      <c r="E32" s="35" t="n">
        <v>140</v>
      </c>
      <c r="F32" s="33" t="inlineStr">
        <is>
          <t>55%</t>
        </is>
      </c>
      <c r="G32" s="32" t="inlineStr">
        <is>
          <t>ver no ML</t>
        </is>
      </c>
    </row>
    <row r="33">
      <c r="A33" s="29" t="n">
        <v>23</v>
      </c>
      <c r="B33" s="29" t="n">
        <v>1</v>
      </c>
      <c r="C33" s="30" t="inlineStr">
        <is>
          <t>FONTE DE ENERGIA KIT FONTE DE ALIMENTACAO P/ LAMPADA DE XENONIO BOVCEED -AWB0234831519075059433734(L)</t>
        </is>
      </c>
      <c r="D33" s="31" t="n">
        <v>80</v>
      </c>
      <c r="E33" s="31" t="n">
        <v>80</v>
      </c>
      <c r="F33" s="29" t="inlineStr">
        <is>
          <t>35%</t>
        </is>
      </c>
      <c r="G33" s="32" t="inlineStr">
        <is>
          <t>ver no ML</t>
        </is>
      </c>
    </row>
    <row r="34">
      <c r="A34" s="33" t="n">
        <v>24</v>
      </c>
      <c r="B34" s="33" t="n">
        <v>2</v>
      </c>
      <c r="C34" s="34" t="inlineStr">
        <is>
          <t>CABO HDMI CABO HDMI STARTECH -AWB992996389547778765153(L)</t>
        </is>
      </c>
      <c r="D34" s="35" t="n">
        <v>35</v>
      </c>
      <c r="E34" s="35" t="n">
        <v>70</v>
      </c>
      <c r="F34" s="33" t="inlineStr">
        <is>
          <t>60%</t>
        </is>
      </c>
      <c r="G34" s="32" t="inlineStr">
        <is>
          <t>ver no ML</t>
        </is>
      </c>
    </row>
    <row r="35">
      <c r="A35" s="29" t="n">
        <v>25</v>
      </c>
      <c r="B35" s="29" t="n">
        <v>1</v>
      </c>
      <c r="C35" s="30" t="inlineStr">
        <is>
          <t>COMPONENTES ELETRONICOS EQUIPAMENTO DE INFORMATICA - REDE EP-B101 -AWB0235242773480226114059(L)</t>
        </is>
      </c>
      <c r="D35" s="31" t="n">
        <v>40</v>
      </c>
      <c r="E35" s="31" t="n">
        <v>40</v>
      </c>
      <c r="F35" s="29" t="inlineStr">
        <is>
          <t>30%</t>
        </is>
      </c>
      <c r="G35" s="32" t="inlineStr">
        <is>
          <t>ver no ML</t>
        </is>
      </c>
    </row>
    <row r="36">
      <c r="A36" s="22" t="n">
        <v>26</v>
      </c>
      <c r="B36" s="22" t="n">
        <v>2</v>
      </c>
      <c r="C36" s="23" t="inlineStr">
        <is>
          <t>COMPONENTES ELETRONICOS COMPONENTES ELETRONICOS ( UNIDADE DE DISPARO ) ZERO-HERTZ H118F502 -AWBX0W338VMDGY(L)</t>
        </is>
      </c>
      <c r="D36" s="24" t="inlineStr">
        <is>
          <t>—</t>
        </is>
      </c>
      <c r="E36" s="24" t="inlineStr">
        <is>
          <t>—</t>
        </is>
      </c>
      <c r="F36" s="22" t="inlineStr">
        <is>
          <t>s/ preço</t>
        </is>
      </c>
      <c r="G36" s="25" t="inlineStr">
        <is>
          <t>ver no ML</t>
        </is>
      </c>
    </row>
    <row r="37">
      <c r="A37" s="22" t="n">
        <v>27</v>
      </c>
      <c r="B37" s="22" t="n">
        <v>315</v>
      </c>
      <c r="C37" s="23" t="inlineStr">
        <is>
          <t>COMPONENTES ELETRONICOS PARTES E PECAS PARA CELULAR DIVERSOS -AWB992996273607721493581(L)</t>
        </is>
      </c>
      <c r="D37" s="24" t="inlineStr">
        <is>
          <t>—</t>
        </is>
      </c>
      <c r="E37" s="24" t="inlineStr">
        <is>
          <t>—</t>
        </is>
      </c>
      <c r="F37" s="22" t="inlineStr">
        <is>
          <t>s/ preço</t>
        </is>
      </c>
      <c r="G37" s="25" t="inlineStr">
        <is>
          <t>ver no ML</t>
        </is>
      </c>
    </row>
    <row r="38">
      <c r="A38" s="22" t="n">
        <v>28</v>
      </c>
      <c r="B38" s="22" t="n">
        <v>15</v>
      </c>
      <c r="C38" s="23" t="inlineStr">
        <is>
          <t>COMPONENTES ELETRONICOS ACESSORIO PARA CELULAR (FONTE P/CARREGADOR) -AWB992996273607721493581(L)</t>
        </is>
      </c>
      <c r="D38" s="24" t="inlineStr">
        <is>
          <t>—</t>
        </is>
      </c>
      <c r="E38" s="24" t="inlineStr">
        <is>
          <t>—</t>
        </is>
      </c>
      <c r="F38" s="22" t="inlineStr">
        <is>
          <t>s/ preço</t>
        </is>
      </c>
      <c r="G38" s="25" t="inlineStr">
        <is>
          <t>ver no ML</t>
        </is>
      </c>
    </row>
    <row r="39">
      <c r="A39" s="22" t="n">
        <v>29</v>
      </c>
      <c r="B39" s="22" t="n">
        <v>7</v>
      </c>
      <c r="C39" s="23" t="inlineStr">
        <is>
          <t>TELA LCD DE ELETRONICOS TELA TOUCH BLUEFIN -AWB992996389547778765153(L)</t>
        </is>
      </c>
      <c r="D39" s="24" t="inlineStr">
        <is>
          <t>—</t>
        </is>
      </c>
      <c r="E39" s="24" t="inlineStr">
        <is>
          <t>—</t>
        </is>
      </c>
      <c r="F39" s="22" t="inlineStr">
        <is>
          <t>s/ preço</t>
        </is>
      </c>
      <c r="G39" s="25" t="inlineStr">
        <is>
          <t>ver no ML</t>
        </is>
      </c>
    </row>
    <row r="40">
      <c r="A40" s="22" t="n">
        <v>30</v>
      </c>
      <c r="B40" s="22" t="n">
        <v>9</v>
      </c>
      <c r="C40" s="23" t="inlineStr">
        <is>
          <t>PARTES E PECAS DE CELULAR KIT SENSOR CAMERA E CONECTOR DE CARGA P/ CELULAR -AWB992996104206604456504(L)</t>
        </is>
      </c>
      <c r="D40" s="24" t="inlineStr">
        <is>
          <t>—</t>
        </is>
      </c>
      <c r="E40" s="24" t="inlineStr">
        <is>
          <t>—</t>
        </is>
      </c>
      <c r="F40" s="22" t="inlineStr">
        <is>
          <t>s/ preço</t>
        </is>
      </c>
      <c r="G40" s="25" t="inlineStr">
        <is>
          <t>ver no ML</t>
        </is>
      </c>
    </row>
    <row r="41">
      <c r="A41" s="22" t="n">
        <v>31</v>
      </c>
      <c r="B41" s="22" t="n">
        <v>1</v>
      </c>
      <c r="C41" s="23" t="inlineStr">
        <is>
          <t>PECAS DIVERSAS DISCO DE ACO (SUPORTE) 20AAD9901 -AWBG2B4983LSNQ(L)</t>
        </is>
      </c>
      <c r="D41" s="24" t="inlineStr">
        <is>
          <t>—</t>
        </is>
      </c>
      <c r="E41" s="24" t="inlineStr">
        <is>
          <t>—</t>
        </is>
      </c>
      <c r="F41" s="22" t="inlineStr">
        <is>
          <t>s/ preço</t>
        </is>
      </c>
      <c r="G41" s="25" t="inlineStr">
        <is>
          <t>ver no ML</t>
        </is>
      </c>
    </row>
    <row r="42">
      <c r="A42" s="22" t="n">
        <v>32</v>
      </c>
      <c r="B42" s="22" t="n">
        <v>90</v>
      </c>
      <c r="C42" s="23" t="inlineStr">
        <is>
          <t>PLACAS DIVERSAS P/COMPUT. PLACA DE CIRCUITO IMPRESSO -AWB992992589131203187090(L)</t>
        </is>
      </c>
      <c r="D42" s="24" t="inlineStr">
        <is>
          <t>—</t>
        </is>
      </c>
      <c r="E42" s="24" t="inlineStr">
        <is>
          <t>—</t>
        </is>
      </c>
      <c r="F42" s="22" t="inlineStr">
        <is>
          <t>s/ preço</t>
        </is>
      </c>
      <c r="G42" s="25" t="inlineStr">
        <is>
          <t>ver no ML</t>
        </is>
      </c>
    </row>
    <row r="43">
      <c r="A43" s="22" t="n">
        <v>33</v>
      </c>
      <c r="B43" s="22" t="n">
        <v>5</v>
      </c>
      <c r="C43" s="23" t="inlineStr">
        <is>
          <t>COMPONENTES ELETRONICOS ACESSORIO DE INFORMATICA (BATERIA) -DSICD2300105226(L)</t>
        </is>
      </c>
      <c r="D43" s="24" t="inlineStr">
        <is>
          <t>—</t>
        </is>
      </c>
      <c r="E43" s="24" t="inlineStr">
        <is>
          <t>—</t>
        </is>
      </c>
      <c r="F43" s="22" t="inlineStr">
        <is>
          <t>s/ preço</t>
        </is>
      </c>
      <c r="G43" s="25" t="inlineStr">
        <is>
          <t>ver no ML</t>
        </is>
      </c>
    </row>
    <row r="44">
      <c r="A44" s="22" t="n">
        <v>34</v>
      </c>
      <c r="B44" s="22" t="n">
        <v>4</v>
      </c>
      <c r="C44" s="23" t="inlineStr">
        <is>
          <t>COMPONENTES ELETRONICOS ACESSORIO DE INFORMATICA (BATERIA) DELL -DSICD2300105226(L)</t>
        </is>
      </c>
      <c r="D44" s="24" t="inlineStr">
        <is>
          <t>—</t>
        </is>
      </c>
      <c r="E44" s="24" t="inlineStr">
        <is>
          <t>—</t>
        </is>
      </c>
      <c r="F44" s="22" t="inlineStr">
        <is>
          <t>s/ preço</t>
        </is>
      </c>
      <c r="G44" s="25" t="inlineStr">
        <is>
          <t>ver no ML</t>
        </is>
      </c>
    </row>
    <row r="45">
      <c r="A45" s="22" t="n">
        <v>35</v>
      </c>
      <c r="B45" s="22" t="n">
        <v>2</v>
      </c>
      <c r="C45" s="23" t="inlineStr">
        <is>
          <t>COMPONENTES ELETRONICOS MODULO CONTROLADOR ELETRONICO DELL -DSICD2300105226(L)</t>
        </is>
      </c>
      <c r="D45" s="24" t="inlineStr">
        <is>
          <t>—</t>
        </is>
      </c>
      <c r="E45" s="24" t="inlineStr">
        <is>
          <t>—</t>
        </is>
      </c>
      <c r="F45" s="22" t="inlineStr">
        <is>
          <t>s/ preço</t>
        </is>
      </c>
      <c r="G45" s="25" t="inlineStr">
        <is>
          <t>ver no ML</t>
        </is>
      </c>
    </row>
    <row r="46">
      <c r="A46" s="22" t="n">
        <v>36</v>
      </c>
      <c r="B46" s="22" t="n">
        <v>4</v>
      </c>
      <c r="C46" s="23" t="inlineStr">
        <is>
          <t>COMPONENTES ELETRONICOS DISSIPADOR DE SERVIDOR ELETRONICO -DSICD2300105226(L)</t>
        </is>
      </c>
      <c r="D46" s="24" t="inlineStr">
        <is>
          <t>—</t>
        </is>
      </c>
      <c r="E46" s="24" t="inlineStr">
        <is>
          <t>—</t>
        </is>
      </c>
      <c r="F46" s="22" t="inlineStr">
        <is>
          <t>s/ preço</t>
        </is>
      </c>
      <c r="G46" s="25" t="inlineStr">
        <is>
          <t>ver no ML</t>
        </is>
      </c>
    </row>
    <row r="47">
      <c r="A47" s="22" t="n">
        <v>37</v>
      </c>
      <c r="B47" s="22" t="n">
        <v>2</v>
      </c>
      <c r="C47" s="23" t="inlineStr">
        <is>
          <t>COMPONENTES ELETRONICOS PLACA CONTROLADORA ELETRONICA -DSICD2300105226(L)</t>
        </is>
      </c>
      <c r="D47" s="24" t="inlineStr">
        <is>
          <t>—</t>
        </is>
      </c>
      <c r="E47" s="24" t="inlineStr">
        <is>
          <t>—</t>
        </is>
      </c>
      <c r="F47" s="22" t="inlineStr">
        <is>
          <t>s/ preço</t>
        </is>
      </c>
      <c r="G47" s="25" t="inlineStr">
        <is>
          <t>ver no ML</t>
        </is>
      </c>
    </row>
    <row r="48">
      <c r="C48" s="26" t="inlineStr">
        <is>
          <t>VALOR DE MERCADO TOTAL</t>
        </is>
      </c>
      <c r="D48" s="27" t="inlineStr"/>
      <c r="E48" s="28">
        <f>SUM(E11:E47)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7" r:id="rId37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176 — COMPONENTE ELETRÔNICO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36000</v>
      </c>
    </row>
    <row r="5">
      <c r="A5" s="16" t="inlineStr">
        <is>
          <t>Valor de mercado (itens)</t>
        </is>
      </c>
      <c r="C5" s="18" t="n">
        <v>80000</v>
      </c>
    </row>
    <row r="6">
      <c r="A6" s="16" t="inlineStr">
        <is>
          <t>LANCE mínimo (conservador)</t>
        </is>
      </c>
      <c r="C6" s="19" t="n">
        <v>28000</v>
      </c>
    </row>
    <row r="7">
      <c r="A7" s="16" t="inlineStr">
        <is>
          <t>LANCE ideal</t>
        </is>
      </c>
      <c r="C7" s="19" t="n">
        <v>36400</v>
      </c>
    </row>
    <row r="8">
      <c r="A8" s="16" t="inlineStr">
        <is>
          <t>LANCE máximo (agressivo)</t>
        </is>
      </c>
      <c r="C8" s="20" t="n">
        <v>47600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5</v>
      </c>
      <c r="C11" s="30" t="inlineStr">
        <is>
          <t>COMPONENTES ELETRONICOS PROCESSADOR DE VIDEO NOVASTAR VX2000 PRO -AWB9806REB4J4T(L)</t>
        </is>
      </c>
      <c r="D11" s="31" t="n">
        <v>16000</v>
      </c>
      <c r="E11" s="31" t="n">
        <v>80000</v>
      </c>
      <c r="F11" s="29" t="inlineStr">
        <is>
          <t>60%</t>
        </is>
      </c>
      <c r="G11" s="32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178 — COMPONENTE ELETRÔNICO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15900</v>
      </c>
    </row>
    <row r="5">
      <c r="A5" s="16" t="inlineStr">
        <is>
          <t>Valor de mercado (itens)</t>
        </is>
      </c>
      <c r="C5" s="18" t="n">
        <v>9500</v>
      </c>
    </row>
    <row r="6">
      <c r="A6" s="16" t="inlineStr">
        <is>
          <t>LANCE mínimo (conservador)</t>
        </is>
      </c>
      <c r="C6" s="19" t="n">
        <v>3325</v>
      </c>
    </row>
    <row r="7">
      <c r="A7" s="16" t="inlineStr">
        <is>
          <t>LANCE ideal</t>
        </is>
      </c>
      <c r="C7" s="19" t="n">
        <v>4322</v>
      </c>
    </row>
    <row r="8">
      <c r="A8" s="16" t="inlineStr">
        <is>
          <t>LANCE máximo (agressivo)</t>
        </is>
      </c>
      <c r="C8" s="20" t="n">
        <v>5652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16</v>
      </c>
      <c r="C11" s="30" t="inlineStr">
        <is>
          <t>SERVO DRIVER (AUTOMACAO) SERVO MOTOR SUNSLEW -AWB70475863571(L)</t>
        </is>
      </c>
      <c r="D11" s="31" t="n">
        <v>350</v>
      </c>
      <c r="E11" s="31" t="n">
        <v>5600</v>
      </c>
      <c r="F11" s="29" t="inlineStr">
        <is>
          <t>30%</t>
        </is>
      </c>
      <c r="G11" s="32" t="inlineStr">
        <is>
          <t>ver no ML</t>
        </is>
      </c>
    </row>
    <row r="12">
      <c r="A12" s="33" t="n">
        <v>2</v>
      </c>
      <c r="B12" s="33" t="n">
        <v>1</v>
      </c>
      <c r="C12" s="34" t="inlineStr">
        <is>
          <t>SERVO DRIVER (AUTOMACAO) SERVO MOTOR YASKAWA -AWB992992841023610474044(L)</t>
        </is>
      </c>
      <c r="D12" s="35" t="n">
        <v>1800</v>
      </c>
      <c r="E12" s="35" t="n">
        <v>1800</v>
      </c>
      <c r="F12" s="33" t="inlineStr">
        <is>
          <t>52%</t>
        </is>
      </c>
      <c r="G12" s="32" t="inlineStr">
        <is>
          <t>ver no ML</t>
        </is>
      </c>
    </row>
    <row r="13">
      <c r="A13" s="29" t="n">
        <v>3</v>
      </c>
      <c r="B13" s="29" t="n">
        <v>1</v>
      </c>
      <c r="C13" s="30" t="inlineStr">
        <is>
          <t>SERVO DRIVER (AUTOMACAO) SERVO DRIVER (AUTOMACAO) MITSUBISHI MR-J4-40A -AWB992198187614259713544(L)</t>
        </is>
      </c>
      <c r="D13" s="31" t="n">
        <v>1200</v>
      </c>
      <c r="E13" s="31" t="n">
        <v>1200</v>
      </c>
      <c r="F13" s="29" t="inlineStr">
        <is>
          <t>55%</t>
        </is>
      </c>
      <c r="G13" s="32" t="inlineStr">
        <is>
          <t>ver no ML</t>
        </is>
      </c>
    </row>
    <row r="14">
      <c r="A14" s="33" t="n">
        <v>4</v>
      </c>
      <c r="B14" s="33" t="n">
        <v>1</v>
      </c>
      <c r="C14" s="34" t="inlineStr">
        <is>
          <t>SERVO DRIVER (AUTOMACAO) SERVO DRIVE -AWB992996104207735311010(L)</t>
        </is>
      </c>
      <c r="D14" s="35" t="n">
        <v>900</v>
      </c>
      <c r="E14" s="35" t="n">
        <v>900</v>
      </c>
      <c r="F14" s="33" t="inlineStr">
        <is>
          <t>35%</t>
        </is>
      </c>
      <c r="G14" s="32" t="inlineStr">
        <is>
          <t>ver no ML</t>
        </is>
      </c>
    </row>
    <row r="15">
      <c r="C15" s="26" t="inlineStr">
        <is>
          <t>VALOR DE MERCADO TOTAL</t>
        </is>
      </c>
      <c r="D15" s="27" t="inlineStr"/>
      <c r="E15" s="28">
        <f>SUM(E11:E14)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179 — COMPONENTE ELETRÔNICO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26300</v>
      </c>
    </row>
    <row r="5">
      <c r="A5" s="16" t="inlineStr">
        <is>
          <t>Valor de mercado (itens)</t>
        </is>
      </c>
      <c r="C5" s="18" t="n">
        <v>56000</v>
      </c>
    </row>
    <row r="6">
      <c r="A6" s="16" t="inlineStr">
        <is>
          <t>LANCE mínimo (conservador)</t>
        </is>
      </c>
      <c r="C6" s="19" t="n">
        <v>19600</v>
      </c>
    </row>
    <row r="7">
      <c r="A7" s="16" t="inlineStr">
        <is>
          <t>LANCE ideal</t>
        </is>
      </c>
      <c r="C7" s="19" t="n">
        <v>25480</v>
      </c>
    </row>
    <row r="8">
      <c r="A8" s="16" t="inlineStr">
        <is>
          <t>LANCE máximo (agressivo)</t>
        </is>
      </c>
      <c r="C8" s="20" t="n">
        <v>33320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4</v>
      </c>
      <c r="C11" s="30" t="inlineStr">
        <is>
          <t>RECEPTOR DE SATELITE RECEPTOR GNSS C/ 2 BASES MOVEL TERSUS DIVERSOS -AWB0235242462178864045358(L)</t>
        </is>
      </c>
      <c r="D11" s="31" t="n">
        <v>14000</v>
      </c>
      <c r="E11" s="31" t="n">
        <v>56000</v>
      </c>
      <c r="F11" s="29" t="inlineStr">
        <is>
          <t>55%</t>
        </is>
      </c>
      <c r="G11" s="32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189 — APARELHO/PEÇA MECÂNICA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23500</v>
      </c>
    </row>
    <row r="5">
      <c r="A5" s="16" t="inlineStr">
        <is>
          <t>Valor de mercado (itens)</t>
        </is>
      </c>
      <c r="C5" s="18" t="n">
        <v>5000</v>
      </c>
    </row>
    <row r="6">
      <c r="A6" s="16" t="inlineStr">
        <is>
          <t>LANCE mínimo (conservador)</t>
        </is>
      </c>
      <c r="C6" s="19" t="n">
        <v>1750</v>
      </c>
    </row>
    <row r="7">
      <c r="A7" s="16" t="inlineStr">
        <is>
          <t>LANCE ideal</t>
        </is>
      </c>
      <c r="C7" s="19" t="n">
        <v>2275</v>
      </c>
    </row>
    <row r="8">
      <c r="A8" s="16" t="inlineStr">
        <is>
          <t>LANCE máximo (agressivo)</t>
        </is>
      </c>
      <c r="C8" s="20" t="n">
        <v>2975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PECAS DIVERSAS MAQUINA DE MARCACAO A LASER COM ACESS -AWB992992536049898373063(L)</t>
        </is>
      </c>
      <c r="D11" s="31" t="n">
        <v>5000</v>
      </c>
      <c r="E11" s="31" t="n">
        <v>5000</v>
      </c>
      <c r="F11" s="29" t="inlineStr">
        <is>
          <t>45%</t>
        </is>
      </c>
      <c r="G11" s="32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196 — COMPONENTE ELETRÔNICO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42400</v>
      </c>
    </row>
    <row r="5">
      <c r="A5" s="16" t="inlineStr">
        <is>
          <t>Valor de mercado (itens)</t>
        </is>
      </c>
      <c r="C5" s="18" t="n">
        <v>76370</v>
      </c>
    </row>
    <row r="6">
      <c r="A6" s="16" t="inlineStr">
        <is>
          <t>LANCE mínimo (conservador)</t>
        </is>
      </c>
      <c r="C6" s="19" t="n">
        <v>26730</v>
      </c>
    </row>
    <row r="7">
      <c r="A7" s="16" t="inlineStr">
        <is>
          <t>LANCE ideal</t>
        </is>
      </c>
      <c r="C7" s="19" t="n">
        <v>34748</v>
      </c>
    </row>
    <row r="8">
      <c r="A8" s="16" t="inlineStr">
        <is>
          <t>LANCE máximo (agressivo)</t>
        </is>
      </c>
      <c r="C8" s="20" t="n">
        <v>45440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800</v>
      </c>
      <c r="C11" s="30" t="inlineStr">
        <is>
          <t>COMPONENTES ELETRONICOS SSD 120GB CEAMERE -AWB992996183522877707954(L)</t>
        </is>
      </c>
      <c r="D11" s="31" t="n">
        <v>55</v>
      </c>
      <c r="E11" s="31" t="n">
        <v>44000</v>
      </c>
      <c r="F11" s="29" t="inlineStr">
        <is>
          <t>55%</t>
        </is>
      </c>
      <c r="G11" s="32" t="inlineStr">
        <is>
          <t>ver no ML</t>
        </is>
      </c>
    </row>
    <row r="12">
      <c r="A12" s="33" t="n">
        <v>2</v>
      </c>
      <c r="B12" s="33" t="n">
        <v>25</v>
      </c>
      <c r="C12" s="34" t="inlineStr">
        <is>
          <t>HD HD SATA 3.84TB INTEL -DSICD2300105226(L)</t>
        </is>
      </c>
      <c r="D12" s="35" t="n">
        <v>900</v>
      </c>
      <c r="E12" s="35" t="n">
        <v>22500</v>
      </c>
      <c r="F12" s="33" t="inlineStr">
        <is>
          <t>45%</t>
        </is>
      </c>
      <c r="G12" s="32" t="inlineStr">
        <is>
          <t>ver no ML</t>
        </is>
      </c>
    </row>
    <row r="13">
      <c r="A13" s="29" t="n">
        <v>3</v>
      </c>
      <c r="B13" s="29" t="n">
        <v>6</v>
      </c>
      <c r="C13" s="30" t="inlineStr">
        <is>
          <t>HD HD SATA 3TB 7.2K IBM -DSICD2300105226(L)</t>
        </is>
      </c>
      <c r="D13" s="31" t="n">
        <v>350</v>
      </c>
      <c r="E13" s="31" t="n">
        <v>2100</v>
      </c>
      <c r="F13" s="29" t="inlineStr">
        <is>
          <t>55%</t>
        </is>
      </c>
      <c r="G13" s="32" t="inlineStr">
        <is>
          <t>ver no ML</t>
        </is>
      </c>
    </row>
    <row r="14">
      <c r="A14" s="33" t="n">
        <v>4</v>
      </c>
      <c r="B14" s="33" t="n">
        <v>5</v>
      </c>
      <c r="C14" s="34" t="inlineStr">
        <is>
          <t>HD HD 2.4TB 10K DELL -DSICD2300105226(L)</t>
        </is>
      </c>
      <c r="D14" s="35" t="n">
        <v>400</v>
      </c>
      <c r="E14" s="35" t="n">
        <v>2000</v>
      </c>
      <c r="F14" s="33" t="inlineStr">
        <is>
          <t>60%</t>
        </is>
      </c>
      <c r="G14" s="32" t="inlineStr">
        <is>
          <t>ver no ML</t>
        </is>
      </c>
    </row>
    <row r="15">
      <c r="A15" s="29" t="n">
        <v>5</v>
      </c>
      <c r="B15" s="29" t="n">
        <v>2</v>
      </c>
      <c r="C15" s="30" t="inlineStr">
        <is>
          <t>HD SSD SATA 1.92TB HP SM863-A -DSICD2300105226(L)</t>
        </is>
      </c>
      <c r="D15" s="31" t="n">
        <v>750</v>
      </c>
      <c r="E15" s="31" t="n">
        <v>1500</v>
      </c>
      <c r="F15" s="29" t="inlineStr">
        <is>
          <t>60%</t>
        </is>
      </c>
      <c r="G15" s="32" t="inlineStr">
        <is>
          <t>ver no ML</t>
        </is>
      </c>
    </row>
    <row r="16">
      <c r="A16" s="33" t="n">
        <v>6</v>
      </c>
      <c r="B16" s="33" t="n">
        <v>1</v>
      </c>
      <c r="C16" s="34" t="inlineStr">
        <is>
          <t>COMPONENTES ELETRONICOS SSD SATA 1.92TB INTEL -DSICD2300105226(L)</t>
        </is>
      </c>
      <c r="D16" s="35" t="n">
        <v>700</v>
      </c>
      <c r="E16" s="35" t="n">
        <v>700</v>
      </c>
      <c r="F16" s="33" t="inlineStr">
        <is>
          <t>60%</t>
        </is>
      </c>
      <c r="G16" s="32" t="inlineStr">
        <is>
          <t>ver no ML</t>
        </is>
      </c>
    </row>
    <row r="17">
      <c r="A17" s="29" t="n">
        <v>7</v>
      </c>
      <c r="B17" s="29" t="n">
        <v>1</v>
      </c>
      <c r="C17" s="30" t="inlineStr">
        <is>
          <t>HD HD SATA 8TB 7.2K HP -DSICD2300105226(L)</t>
        </is>
      </c>
      <c r="D17" s="31" t="n">
        <v>700</v>
      </c>
      <c r="E17" s="31" t="n">
        <v>700</v>
      </c>
      <c r="F17" s="29" t="inlineStr">
        <is>
          <t>60%</t>
        </is>
      </c>
      <c r="G17" s="32" t="inlineStr">
        <is>
          <t>ver no ML</t>
        </is>
      </c>
    </row>
    <row r="18">
      <c r="A18" s="33" t="n">
        <v>8</v>
      </c>
      <c r="B18" s="33" t="n">
        <v>9</v>
      </c>
      <c r="C18" s="34" t="inlineStr">
        <is>
          <t>HD HD SATA 500GB 7.2K IBM -DSICD2300105226(L)</t>
        </is>
      </c>
      <c r="D18" s="35" t="n">
        <v>60</v>
      </c>
      <c r="E18" s="35" t="n">
        <v>540</v>
      </c>
      <c r="F18" s="33" t="inlineStr">
        <is>
          <t>55%</t>
        </is>
      </c>
      <c r="G18" s="32" t="inlineStr">
        <is>
          <t>ver no ML</t>
        </is>
      </c>
    </row>
    <row r="19">
      <c r="A19" s="29" t="n">
        <v>9</v>
      </c>
      <c r="B19" s="29" t="n">
        <v>3</v>
      </c>
      <c r="C19" s="30" t="inlineStr">
        <is>
          <t>HD HD SATA 900GB 10K HP -DSICD2300105226(L)</t>
        </is>
      </c>
      <c r="D19" s="31" t="n">
        <v>140</v>
      </c>
      <c r="E19" s="31" t="n">
        <v>420</v>
      </c>
      <c r="F19" s="29" t="inlineStr">
        <is>
          <t>60%</t>
        </is>
      </c>
      <c r="G19" s="32" t="inlineStr">
        <is>
          <t>ver no ML</t>
        </is>
      </c>
    </row>
    <row r="20">
      <c r="A20" s="33" t="n">
        <v>10</v>
      </c>
      <c r="B20" s="33" t="n">
        <v>2</v>
      </c>
      <c r="C20" s="34" t="inlineStr">
        <is>
          <t>HD HD SATA 2TB 7.2K IBM -DSICD2300105226(L)</t>
        </is>
      </c>
      <c r="D20" s="35" t="n">
        <v>200</v>
      </c>
      <c r="E20" s="35" t="n">
        <v>400</v>
      </c>
      <c r="F20" s="33" t="inlineStr">
        <is>
          <t>55%</t>
        </is>
      </c>
      <c r="G20" s="32" t="inlineStr">
        <is>
          <t>ver no ML</t>
        </is>
      </c>
    </row>
    <row r="21">
      <c r="A21" s="29" t="n">
        <v>11</v>
      </c>
      <c r="B21" s="29" t="n">
        <v>2</v>
      </c>
      <c r="C21" s="30" t="inlineStr">
        <is>
          <t>HD HD SATA 600GB 15K IBM -DSICD2300105226(L)</t>
        </is>
      </c>
      <c r="D21" s="31" t="n">
        <v>180</v>
      </c>
      <c r="E21" s="31" t="n">
        <v>360</v>
      </c>
      <c r="F21" s="29" t="inlineStr">
        <is>
          <t>60%</t>
        </is>
      </c>
      <c r="G21" s="32" t="inlineStr">
        <is>
          <t>ver no ML</t>
        </is>
      </c>
    </row>
    <row r="22">
      <c r="A22" s="33" t="n">
        <v>12</v>
      </c>
      <c r="B22" s="33" t="n">
        <v>1</v>
      </c>
      <c r="C22" s="34" t="inlineStr">
        <is>
          <t>HD HD SATA 4TB 7.2K SEAGATE -DSICD2300105226(L)</t>
        </is>
      </c>
      <c r="D22" s="35" t="n">
        <v>350</v>
      </c>
      <c r="E22" s="35" t="n">
        <v>350</v>
      </c>
      <c r="F22" s="33" t="inlineStr">
        <is>
          <t>70%</t>
        </is>
      </c>
      <c r="G22" s="32" t="inlineStr">
        <is>
          <t>ver no ML</t>
        </is>
      </c>
    </row>
    <row r="23">
      <c r="A23" s="29" t="n">
        <v>13</v>
      </c>
      <c r="B23" s="29" t="n">
        <v>2</v>
      </c>
      <c r="C23" s="30" t="inlineStr">
        <is>
          <t>HD HD SATA 900GB 10K HP -DSICD2300105226(L)</t>
        </is>
      </c>
      <c r="D23" s="31" t="n">
        <v>140</v>
      </c>
      <c r="E23" s="31" t="n">
        <v>280</v>
      </c>
      <c r="F23" s="29" t="inlineStr">
        <is>
          <t>60%</t>
        </is>
      </c>
      <c r="G23" s="32" t="inlineStr">
        <is>
          <t>ver no ML</t>
        </is>
      </c>
    </row>
    <row r="24">
      <c r="A24" s="33" t="n">
        <v>14</v>
      </c>
      <c r="B24" s="33" t="n">
        <v>2</v>
      </c>
      <c r="C24" s="34" t="inlineStr">
        <is>
          <t>HD HD SATA 500GB IBM 42D0752 -DSICD2300105226(L)</t>
        </is>
      </c>
      <c r="D24" s="35" t="n">
        <v>90</v>
      </c>
      <c r="E24" s="35" t="n">
        <v>180</v>
      </c>
      <c r="F24" s="33" t="inlineStr">
        <is>
          <t>50%</t>
        </is>
      </c>
      <c r="G24" s="32" t="inlineStr">
        <is>
          <t>ver no ML</t>
        </is>
      </c>
    </row>
    <row r="25">
      <c r="A25" s="29" t="n">
        <v>15</v>
      </c>
      <c r="B25" s="29" t="n">
        <v>1</v>
      </c>
      <c r="C25" s="30" t="inlineStr">
        <is>
          <t>HD HD SATA 900GB 10K HP -DSICD2300105226(L)</t>
        </is>
      </c>
      <c r="D25" s="31" t="n">
        <v>140</v>
      </c>
      <c r="E25" s="31" t="n">
        <v>140</v>
      </c>
      <c r="F25" s="29" t="inlineStr">
        <is>
          <t>60%</t>
        </is>
      </c>
      <c r="G25" s="32" t="inlineStr">
        <is>
          <t>ver no ML</t>
        </is>
      </c>
    </row>
    <row r="26">
      <c r="A26" s="33" t="n">
        <v>16</v>
      </c>
      <c r="B26" s="33" t="n">
        <v>1</v>
      </c>
      <c r="C26" s="34" t="inlineStr">
        <is>
          <t>HD HD SATA 900GB 10K HP -DSICD2300105226(L)</t>
        </is>
      </c>
      <c r="D26" s="35" t="n">
        <v>140</v>
      </c>
      <c r="E26" s="35" t="n">
        <v>140</v>
      </c>
      <c r="F26" s="33" t="inlineStr">
        <is>
          <t>60%</t>
        </is>
      </c>
      <c r="G26" s="32" t="inlineStr">
        <is>
          <t>ver no ML</t>
        </is>
      </c>
    </row>
    <row r="27">
      <c r="A27" s="29" t="n">
        <v>17</v>
      </c>
      <c r="B27" s="29" t="n">
        <v>1</v>
      </c>
      <c r="C27" s="30" t="inlineStr">
        <is>
          <t>HD HD SATA 500GB 7.2K IBM -DSICD2300105226(L)</t>
        </is>
      </c>
      <c r="D27" s="31" t="n">
        <v>60</v>
      </c>
      <c r="E27" s="31" t="n">
        <v>60</v>
      </c>
      <c r="F27" s="29" t="inlineStr">
        <is>
          <t>55%</t>
        </is>
      </c>
      <c r="G27" s="32" t="inlineStr">
        <is>
          <t>ver no ML</t>
        </is>
      </c>
    </row>
    <row r="28">
      <c r="C28" s="26" t="inlineStr">
        <is>
          <t>VALOR DE MERCADO TOTAL</t>
        </is>
      </c>
      <c r="D28" s="27" t="inlineStr"/>
      <c r="E28" s="28">
        <f>SUM(E11:E27)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203 — ELETRÔNICO/ÁUDIO/VÍDEO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6800</v>
      </c>
    </row>
    <row r="5">
      <c r="A5" s="16" t="inlineStr">
        <is>
          <t>Valor de mercado (itens)</t>
        </is>
      </c>
      <c r="C5" s="18" t="n">
        <v>12000</v>
      </c>
    </row>
    <row r="6">
      <c r="A6" s="16" t="inlineStr">
        <is>
          <t>LANCE mínimo (conservador)</t>
        </is>
      </c>
      <c r="C6" s="19" t="n">
        <v>4200</v>
      </c>
    </row>
    <row r="7">
      <c r="A7" s="16" t="inlineStr">
        <is>
          <t>LANCE ideal</t>
        </is>
      </c>
      <c r="C7" s="19" t="n">
        <v>5460</v>
      </c>
    </row>
    <row r="8">
      <c r="A8" s="16" t="inlineStr">
        <is>
          <t>LANCE máximo (agressivo)</t>
        </is>
      </c>
      <c r="C8" s="20" t="n">
        <v>7140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1</v>
      </c>
      <c r="C11" s="30" t="inlineStr">
        <is>
          <t>MONITOR - OUTROS QUADRO DE REUNIAO 75 PRO C/ ACESSORIOS YEALINK -AWB55526757171(L)</t>
        </is>
      </c>
      <c r="D11" s="31" t="n">
        <v>12000</v>
      </c>
      <c r="E11" s="31" t="n">
        <v>12000</v>
      </c>
      <c r="F11" s="29" t="inlineStr">
        <is>
          <t>40%</t>
        </is>
      </c>
      <c r="G11" s="32" t="inlineStr">
        <is>
          <t>ver no ML</t>
        </is>
      </c>
    </row>
    <row r="12">
      <c r="C12" s="26" t="inlineStr">
        <is>
          <t>VALOR DE MERCADO TOTAL</t>
        </is>
      </c>
      <c r="D12" s="27" t="inlineStr"/>
      <c r="E12" s="28">
        <f>SUM(E11:E11)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209 — COMPONENTE ELETRÔNICO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24900</v>
      </c>
    </row>
    <row r="5">
      <c r="A5" s="16" t="inlineStr">
        <is>
          <t>Valor de mercado (itens)</t>
        </is>
      </c>
      <c r="C5" s="18" t="n">
        <v>24000</v>
      </c>
    </row>
    <row r="6">
      <c r="A6" s="16" t="inlineStr">
        <is>
          <t>LANCE mínimo (conservador)</t>
        </is>
      </c>
      <c r="C6" s="19" t="n">
        <v>8400</v>
      </c>
    </row>
    <row r="7">
      <c r="A7" s="16" t="inlineStr">
        <is>
          <t>LANCE ideal</t>
        </is>
      </c>
      <c r="C7" s="19" t="n">
        <v>10920</v>
      </c>
    </row>
    <row r="8">
      <c r="A8" s="16" t="inlineStr">
        <is>
          <t>LANCE máximo (agressivo)</t>
        </is>
      </c>
      <c r="C8" s="20" t="n">
        <v>14280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4</v>
      </c>
      <c r="C11" s="30" t="inlineStr">
        <is>
          <t>BATERIA BATERIA DRONE AGRICOLA -AWB0234643412473534854395(L)</t>
        </is>
      </c>
      <c r="D11" s="31" t="n">
        <v>6000</v>
      </c>
      <c r="E11" s="31" t="n">
        <v>24000</v>
      </c>
      <c r="F11" s="29" t="inlineStr">
        <is>
          <t>45%</t>
        </is>
      </c>
      <c r="G11" s="32" t="inlineStr">
        <is>
          <t>ver no ML</t>
        </is>
      </c>
    </row>
    <row r="12">
      <c r="A12" s="22" t="n">
        <v>2</v>
      </c>
      <c r="B12" s="22" t="n">
        <v>1</v>
      </c>
      <c r="C12" s="23" t="inlineStr">
        <is>
          <t>DRONE RADIOCONTROLADO DRONE PULVERIZADOR AGRICOLA DESMONTADO -HREMEXPR369822650943594982156(L)</t>
        </is>
      </c>
      <c r="D12" s="24" t="inlineStr">
        <is>
          <t>—</t>
        </is>
      </c>
      <c r="E12" s="24" t="inlineStr">
        <is>
          <t>—</t>
        </is>
      </c>
      <c r="F12" s="22" t="inlineStr">
        <is>
          <t>s/ preço</t>
        </is>
      </c>
      <c r="G12" s="25" t="inlineStr">
        <is>
          <t>ver no ML</t>
        </is>
      </c>
    </row>
    <row r="13">
      <c r="A13" s="22" t="n">
        <v>3</v>
      </c>
      <c r="B13" s="22" t="n">
        <v>1</v>
      </c>
      <c r="C13" s="23" t="inlineStr">
        <is>
          <t>GPS MODEM GPS RAVEN -AWB60RF28H7SFL(L)</t>
        </is>
      </c>
      <c r="D13" s="24" t="inlineStr">
        <is>
          <t>—</t>
        </is>
      </c>
      <c r="E13" s="24" t="inlineStr">
        <is>
          <t>—</t>
        </is>
      </c>
      <c r="F13" s="22" t="inlineStr">
        <is>
          <t>s/ preço</t>
        </is>
      </c>
      <c r="G13" s="25" t="inlineStr">
        <is>
          <t>ver no ML</t>
        </is>
      </c>
    </row>
    <row r="14">
      <c r="C14" s="26" t="inlineStr">
        <is>
          <t>VALOR DE MERCADO TOTAL</t>
        </is>
      </c>
      <c r="D14" s="27" t="inlineStr"/>
      <c r="E14" s="28">
        <f>SUM(E11:E13)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6" customWidth="1" min="4" max="4"/>
    <col width="18" customWidth="1" min="5" max="5"/>
    <col width="9" customWidth="1" min="6" max="6"/>
    <col width="16" customWidth="1" min="7" max="7"/>
  </cols>
  <sheetData>
    <row r="1">
      <c r="A1" s="14" t="inlineStr">
        <is>
          <t>LOTE 210 — MÉDICO/ODONTO/HOSPITALAR</t>
        </is>
      </c>
      <c r="I1" s="15">
        <f>HYPERLINK("#'Índice'!A1","↩ voltar ao índice")</f>
        <v/>
      </c>
    </row>
    <row r="2">
      <c r="A2" s="2" t="inlineStr">
        <is>
          <t>Viracopos (VIRA)  ·  Edital 0800100/000006/2026 · 8ª RF (SP)</t>
        </is>
      </c>
    </row>
    <row r="4">
      <c r="A4" s="16" t="inlineStr">
        <is>
          <t>Preço mínimo (edital)</t>
        </is>
      </c>
      <c r="C4" s="17" t="n">
        <v>2000</v>
      </c>
    </row>
    <row r="5">
      <c r="A5" s="16" t="inlineStr">
        <is>
          <t>Valor de mercado (itens)</t>
        </is>
      </c>
      <c r="C5" s="18" t="n">
        <v>3200</v>
      </c>
    </row>
    <row r="6">
      <c r="A6" s="16" t="inlineStr">
        <is>
          <t>LANCE mínimo (conservador)</t>
        </is>
      </c>
      <c r="C6" s="19" t="n">
        <v>1120</v>
      </c>
    </row>
    <row r="7">
      <c r="A7" s="16" t="inlineStr">
        <is>
          <t>LANCE ideal</t>
        </is>
      </c>
      <c r="C7" s="19" t="n">
        <v>1456</v>
      </c>
    </row>
    <row r="8">
      <c r="A8" s="16" t="inlineStr">
        <is>
          <t>LANCE máximo (agressivo)</t>
        </is>
      </c>
      <c r="C8" s="20" t="n">
        <v>1904</v>
      </c>
    </row>
    <row r="10">
      <c r="A10" s="21" t="inlineStr">
        <is>
          <t>#</t>
        </is>
      </c>
      <c r="B10" s="21" t="inlineStr">
        <is>
          <t>Qtd</t>
        </is>
      </c>
      <c r="C10" s="21" t="inlineStr">
        <is>
          <t>Descrição do item</t>
        </is>
      </c>
      <c r="D10" s="21" t="inlineStr">
        <is>
          <t>Preço unit. (ML)</t>
        </is>
      </c>
      <c r="E10" s="21" t="inlineStr">
        <is>
          <t>Total (preço × qtd)</t>
        </is>
      </c>
      <c r="F10" s="21" t="inlineStr">
        <is>
          <t>Conf.</t>
        </is>
      </c>
      <c r="G10" s="21" t="inlineStr">
        <is>
          <t>Link Mercado Livre</t>
        </is>
      </c>
    </row>
    <row r="11">
      <c r="A11" s="29" t="n">
        <v>1</v>
      </c>
      <c r="B11" s="29" t="n">
        <v>4</v>
      </c>
      <c r="C11" s="30" t="inlineStr">
        <is>
          <t>OTOSCOPIO OTOSCOPIO COM ACESSORIOS WELCH ALLYN -AWB76770721500(L)</t>
        </is>
      </c>
      <c r="D11" s="31" t="n">
        <v>650</v>
      </c>
      <c r="E11" s="31" t="n">
        <v>2600</v>
      </c>
      <c r="F11" s="29" t="inlineStr">
        <is>
          <t>65%</t>
        </is>
      </c>
      <c r="G11" s="32" t="inlineStr">
        <is>
          <t>ver no ML</t>
        </is>
      </c>
    </row>
    <row r="12">
      <c r="A12" s="33" t="n">
        <v>2</v>
      </c>
      <c r="B12" s="33" t="n">
        <v>2</v>
      </c>
      <c r="C12" s="34" t="inlineStr">
        <is>
          <t>MEDIDOR PRESSAO ARTERIAL MEDIDOR PRESSAO ARTERIAL DIGITAL WELCH ALLYN -AWB76770721500(L)</t>
        </is>
      </c>
      <c r="D12" s="35" t="n">
        <v>300</v>
      </c>
      <c r="E12" s="35" t="n">
        <v>600</v>
      </c>
      <c r="F12" s="33" t="inlineStr">
        <is>
          <t>55%</t>
        </is>
      </c>
      <c r="G12" s="32" t="inlineStr">
        <is>
          <t>ver no ML</t>
        </is>
      </c>
    </row>
    <row r="13">
      <c r="C13" s="26" t="inlineStr">
        <is>
          <t>VALOR DE MERCADO TOTAL</t>
        </is>
      </c>
      <c r="D13" s="27" t="inlineStr"/>
      <c r="E13" s="28">
        <f>SUM(E11:E12)</f>
        <v/>
      </c>
    </row>
  </sheetData>
  <mergeCells count="7">
    <mergeCell ref="A4:B4"/>
    <mergeCell ref="A1:G1"/>
    <mergeCell ref="A7:B7"/>
    <mergeCell ref="A5:B5"/>
    <mergeCell ref="A2:G2"/>
    <mergeCell ref="A8:B8"/>
    <mergeCell ref="A6:B6"/>
  </mergeCells>
  <hyperlinks>
    <hyperlink xmlns:r="http://schemas.openxmlformats.org/officeDocument/2006/relationships" ref="G11" r:id="rId1"/>
    <hyperlink xmlns:r="http://schemas.openxmlformats.org/officeDocument/2006/relationships" ref="G1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2026-06-24T13:29:21Z</dcterms:created>
  <dcterms:modified xmlns:dcterms="http://purl.org/dc/terms/" xmlns:xsi="http://www.w3.org/2001/XMLSchema-instance" xsi:type="dcterms:W3CDTF">2026-06-24T13:29:24Z</dcterms:modified>
</cp:coreProperties>
</file>